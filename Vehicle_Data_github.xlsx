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Cours informatique\data analyste\Portfolio\Alex\a deposer\"/>
    </mc:Choice>
  </mc:AlternateContent>
  <xr:revisionPtr revIDLastSave="0" documentId="13_ncr:1_{96A858BE-E09C-49B2-98C3-58B1B32792AE}" xr6:coauthVersionLast="47" xr6:coauthVersionMax="47" xr10:uidLastSave="{00000000-0000-0000-0000-000000000000}"/>
  <bookViews>
    <workbookView xWindow="-120" yWindow="-120" windowWidth="20730" windowHeight="11160" tabRatio="598" firstSheet="1" activeTab="3" xr2:uid="{2821CCA4-9DFD-4896-AF1F-A66906CBDFCA}"/>
  </bookViews>
  <sheets>
    <sheet name="Detail2" sheetId="15" state="hidden" r:id="rId1"/>
    <sheet name="Vehicule_data_cleaned" sheetId="20" r:id="rId2"/>
    <sheet name="Vehicule_data_fuel_type" sheetId="18" r:id="rId3"/>
    <sheet name="Vehicule_data_fuel_pourcentage" sheetId="23" r:id="rId4"/>
    <sheet name="EV vs alternative fuels" sheetId="32" r:id="rId5"/>
  </sheets>
  <definedNames>
    <definedName name="ExternalData_1" localSheetId="1" hidden="1">Vehicule_data_cleaned!$A$1:$M$51</definedName>
    <definedName name="ExternalData_1" localSheetId="2" hidden="1">Vehicule_data_fuel_type!$A$1:$G$52</definedName>
  </definedNames>
  <calcPr calcId="181029"/>
</workbook>
</file>

<file path=xl/calcChain.xml><?xml version="1.0" encoding="utf-8"?>
<calcChain xmlns="http://schemas.openxmlformats.org/spreadsheetml/2006/main">
  <c r="H52" i="18" l="1"/>
  <c r="B52" i="18"/>
  <c r="E52" i="23"/>
  <c r="G52" i="18"/>
  <c r="D52" i="23"/>
  <c r="B52" i="23"/>
  <c r="C52" i="18"/>
  <c r="D52" i="18"/>
  <c r="E52" i="18"/>
  <c r="F52" i="18"/>
  <c r="H2" i="18"/>
  <c r="H3" i="18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C52" i="2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07CF13-9D77-433D-BF96-B0D6C0110F89}" keepAlive="1" name="Query - Vehicle Data" description="Connection to the 'Vehicle Data' query in the workbook." type="5" refreshedVersion="8" background="1" saveData="1">
    <dbPr connection="Provider=Microsoft.Mashup.OleDb.1;Data Source=$Workbook$;Location=&quot;Vehicle Data&quot;;Extended Properties=&quot;&quot;" command="SELECT * FROM [Vehicle Data]"/>
  </connection>
  <connection id="2" xr16:uid="{5CE71BB6-B1F0-423A-B66F-2988968791C4}" keepAlive="1" name="Query - Vehicle Data (2)" description="Connection to the 'Vehicle Data (2)' query in the workbook." type="5" refreshedVersion="8" background="1" saveData="1">
    <dbPr connection="Provider=Microsoft.Mashup.OleDb.1;Data Source=$Workbook$;Location=&quot;Vehicle Data (2)&quot;;Extended Properties=&quot;&quot;" command="SELECT * FROM [Vehicle Data (2)]"/>
  </connection>
  <connection id="3" xr16:uid="{71143CDD-7E45-43F7-B33D-19433B5BCCB6}" keepAlive="1" name="Query - Vehicle Data (3)" description="Connection to the 'Vehicle Data (3)' query in the workbook." type="5" refreshedVersion="8" background="1" saveData="1">
    <dbPr connection="Provider=Microsoft.Mashup.OleDb.1;Data Source=$Workbook$;Location=&quot;Vehicle Data (3)&quot;;Extended Properties=&quot;&quot;" command="SELECT * FROM [Vehicle Data (3)]"/>
  </connection>
  <connection id="4" xr16:uid="{534C93E0-664E-45F3-BFC4-07C4B9E1D5A6}" keepAlive="1" name="Query - Vehicle_Data_cleaned" description="Connection to the 'Vehicle_Data_cleaned' query in the workbook." type="5" refreshedVersion="8" background="1" saveData="1">
    <dbPr connection="Provider=Microsoft.Mashup.OleDb.1;Data Source=$Workbook$;Location=Vehicle_Data_cleaned;Extended Properties=&quot;&quot;" command="SELECT * FROM [Vehicle_Data_cleaned]"/>
  </connection>
  <connection id="5" xr16:uid="{D52E3155-4989-42C5-ABF5-D98ABC01A040}" keepAlive="1" name="Query - Vehicle_Data_cleaned (2)" description="Connection to the 'Vehicle_Data_cleaned (2)' query in the workbook." type="5" refreshedVersion="8" background="1" saveData="1">
    <dbPr connection="Provider=Microsoft.Mashup.OleDb.1;Data Source=$Workbook$;Location=&quot;Vehicle_Data_cleaned (2)&quot;;Extended Properties=&quot;&quot;" command="SELECT * FROM [Vehicle_Data_cleaned (2)]"/>
  </connection>
  <connection id="6" xr16:uid="{5C464ED8-7B4A-4F1E-93CA-1E45EAE27FA6}" keepAlive="1" name="Query - Vehicle_Data_cleaned (3)" description="Connection to the 'Vehicle_Data_cleaned (3)' query in the workbook." type="5" refreshedVersion="8" background="1" saveData="1">
    <dbPr connection="Provider=Microsoft.Mashup.OleDb.1;Data Source=$Workbook$;Location=&quot;Vehicle_Data_cleaned (3)&quot;;Extended Properties=&quot;&quot;" command="SELECT * FROM [Vehicle_Data_cleaned (3)]"/>
  </connection>
  <connection id="7" xr16:uid="{DDA0D137-AA84-412D-9930-882F5DD98936}" keepAlive="1" name="Query - Vehicle_Data_cleaned (4)" description="Connection to the 'Vehicle_Data_cleaned (4)' query in the workbook." type="5" refreshedVersion="8" background="1" saveData="1">
    <dbPr connection="Provider=Microsoft.Mashup.OleDb.1;Data Source=$Workbook$;Location=&quot;Vehicle_Data_cleaned (4)&quot;;Extended Properties=&quot;&quot;" command="SELECT * FROM [Vehicle_Data_cleaned (4)]"/>
  </connection>
  <connection id="8" xr16:uid="{54E2B75F-A749-4AB2-90F6-8DB71A4A69C3}" keepAlive="1" name="Query - Vehicle_Data_cleaned (5)" description="Connection to the 'Vehicle_Data_cleaned (5)' query in the workbook." type="5" refreshedVersion="8" background="1" saveData="1">
    <dbPr connection="Provider=Microsoft.Mashup.OleDb.1;Data Source=$Workbook$;Location=&quot;Vehicle_Data_cleaned (5)&quot;;Extended Properties=&quot;&quot;" command="SELECT * FROM [Vehicle_Data_cleaned (5)]"/>
  </connection>
  <connection id="9" xr16:uid="{47A27493-EF20-47D6-8669-2BC3400040BB}" keepAlive="1" name="Query - Vehicle_Data_cleaned (6)" description="Connection to the 'Vehicle_Data_cleaned (6)' query in the workbook." type="5" refreshedVersion="8" background="1" saveData="1">
    <dbPr connection="Provider=Microsoft.Mashup.OleDb.1;Data Source=$Workbook$;Location=&quot;Vehicle_Data_cleaned (6)&quot;;Extended Properties=&quot;&quot;" command="SELECT * FROM [Vehicle_Data_cleaned (6)]"/>
  </connection>
  <connection id="10" xr16:uid="{0ABA0836-A66F-49C4-8181-7E57A30F984B}" keepAlive="1" name="Query - Vehicule_data_cleaned" description="Connection to the 'Vehicule_data_cleaned' query in the workbook." type="5" refreshedVersion="8" background="1" saveData="1">
    <dbPr connection="Provider=Microsoft.Mashup.OleDb.1;Data Source=$Workbook$;Location=Vehicule_data_cleaned;Extended Properties=&quot;&quot;" command="SELECT * FROM [Vehicule_data_cleaned]"/>
  </connection>
  <connection id="11" xr16:uid="{12C5F13E-44A7-43C3-A49F-F29181A243B7}" keepAlive="1" name="Query - Vehicule_data_cleaned (2)" description="Connection to the 'Vehicule_data_cleaned (2)' query in the workbook." type="5" refreshedVersion="8" background="1" saveData="1">
    <dbPr connection="Provider=Microsoft.Mashup.OleDb.1;Data Source=$Workbook$;Location=&quot;Vehicule_data_cleaned (2)&quot;;Extended Properties=&quot;&quot;" command="SELECT * FROM [Vehicule_data_cleaned (2)]"/>
  </connection>
  <connection id="12" xr16:uid="{FBC087C9-513C-4004-B596-5EB663AB3865}" keepAlive="1" name="Query - Vehicule_data_cleaned (3)" description="Connection to the 'Vehicule_data_cleaned (3)' query in the workbook." type="5" refreshedVersion="8" background="1" saveData="1">
    <dbPr connection="Provider=Microsoft.Mashup.OleDb.1;Data Source=$Workbook$;Location=&quot;Vehicule_data_cleaned (3)&quot;;Extended Properties=&quot;&quot;" command="SELECT * FROM [Vehicule_data_cleaned (3)]"/>
  </connection>
</connections>
</file>

<file path=xl/sharedStrings.xml><?xml version="1.0" encoding="utf-8"?>
<sst xmlns="http://schemas.openxmlformats.org/spreadsheetml/2006/main" count="240" uniqueCount="71">
  <si>
    <t>State</t>
  </si>
  <si>
    <t>Electric (EV)</t>
  </si>
  <si>
    <t>Unknown Fuel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</si>
  <si>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</si>
  <si>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</si>
  <si>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</si>
  <si>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</si>
  <si>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</si>
  <si>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</si>
  <si>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</si>
  <si>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</si>
  <si>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</si>
  <si>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</si>
  <si>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</si>
  <si>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</si>
  <si>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</si>
  <si>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</si>
  <si>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</si>
  <si>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</si>
  <si>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</si>
  <si>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</si>
  <si>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</si>
  <si>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</si>
  <si>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</si>
  <si>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</si>
  <si>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</si>
  <si>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</si>
  <si>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</si>
  <si>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</si>
  <si>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</si>
  <si>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</si>
  <si>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</si>
  <si>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</si>
  <si>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</si>
  <si>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</si>
  <si>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</si>
  <si>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</si>
  <si>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</si>
  <si>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</si>
  <si>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</si>
  <si>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</si>
  <si>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</si>
  <si>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</si>
  <si>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</si>
  <si>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</si>
  <si>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</si>
  <si>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</si>
  <si>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</si>
  <si>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</si>
  <si>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</si>
  <si>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</si>
  <si>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</si>
  <si>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</si>
  <si>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Hybrids (PHEV, HEV)</t>
  </si>
  <si>
    <t>Alternative Fuels</t>
  </si>
  <si>
    <t>Conventional Fossil Fuels</t>
  </si>
  <si>
    <t>Details for Sum of Conventional Fossil Fuels - State: Delaware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</si>
  <si>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</si>
  <si>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</si>
  <si>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</si>
  <si>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</si>
  <si>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</si>
  <si>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</si>
  <si>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</si>
  <si>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</si>
  <si>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</si>
  <si>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</si>
  <si>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Sum</t>
  </si>
  <si>
    <t>Total</t>
  </si>
  <si>
    <t>total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</si>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</sst>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16" fillId="0" borderId="0" xfId="0" applyFont="1"/>
    <xf numFmtId="10" fontId="0" fillId="0" borderId="0" xfId="42" applyNumberFormat="1" applyFont="1"/>
    <xf numFmtId="0" fontId="13" fillId="34" borderId="10" xfId="0" applyFont="1" applyFill="1" applyBorder="1"/>
    <xf numFmtId="3" fontId="0" fillId="0" borderId="0" xfId="0" applyNumberFormat="1"/>
    <xf numFmtId="10" fontId="0" fillId="0" borderId="11" xfId="42" applyNumberFormat="1" applyFont="1" applyBorder="1"/>
    <xf numFmtId="0" fontId="0" fillId="0" borderId="10" xfId="0" applyBorder="1"/>
    <xf numFmtId="0" fontId="0" fillId="33" borderId="10" xfId="0" applyFill="1" applyBorder="1"/>
    <xf numFmtId="0" fontId="13" fillId="34" borderId="11" xfId="0" applyFont="1" applyFill="1" applyBorder="1"/>
    <xf numFmtId="10" fontId="0" fillId="33" borderId="11" xfId="42" applyNumberFormat="1" applyFont="1" applyFill="1" applyBorder="1"/>
    <xf numFmtId="0" fontId="19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D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'EV vs alternative fuels'!$B$1</c:f>
              <c:strCache>
                <c:ptCount val="1"/>
                <c:pt idx="0">
                  <c:v>Electric (EV)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'EV vs alternative fuels'!$A$2:$A$51</c:f>
              <c:strCache>
                <c:ptCount val="50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Florida</c:v>
                </c:pt>
                <c:pt idx="9">
                  <c:v>Georgia</c:v>
                </c:pt>
                <c:pt idx="10">
                  <c:v>Hawaii</c:v>
                </c:pt>
                <c:pt idx="11">
                  <c:v>Idaho</c:v>
                </c:pt>
                <c:pt idx="12">
                  <c:v>Illinois</c:v>
                </c:pt>
                <c:pt idx="13">
                  <c:v>Indiana</c:v>
                </c:pt>
                <c:pt idx="14">
                  <c:v>Iowa</c:v>
                </c:pt>
                <c:pt idx="15">
                  <c:v>Kansas</c:v>
                </c:pt>
                <c:pt idx="16">
                  <c:v>Kentucky</c:v>
                </c:pt>
                <c:pt idx="17">
                  <c:v>Louisiana</c:v>
                </c:pt>
                <c:pt idx="18">
                  <c:v>Maine</c:v>
                </c:pt>
                <c:pt idx="19">
                  <c:v>Maryland</c:v>
                </c:pt>
                <c:pt idx="20">
                  <c:v>Massachusetts</c:v>
                </c:pt>
                <c:pt idx="21">
                  <c:v>Michigan</c:v>
                </c:pt>
                <c:pt idx="22">
                  <c:v>Minnesota</c:v>
                </c:pt>
                <c:pt idx="23">
                  <c:v>Mississippi</c:v>
                </c:pt>
                <c:pt idx="24">
                  <c:v>Missouri</c:v>
                </c:pt>
                <c:pt idx="25">
                  <c:v>Montana</c:v>
                </c:pt>
                <c:pt idx="26">
                  <c:v>Nebraska</c:v>
                </c:pt>
                <c:pt idx="27">
                  <c:v>Nevada</c:v>
                </c:pt>
                <c:pt idx="28">
                  <c:v>New Hampshire</c:v>
                </c:pt>
                <c:pt idx="29">
                  <c:v>New Jersey</c:v>
                </c:pt>
                <c:pt idx="30">
                  <c:v>New Mexico</c:v>
                </c:pt>
                <c:pt idx="31">
                  <c:v>New York</c:v>
                </c:pt>
                <c:pt idx="32">
                  <c:v>North Carolina</c:v>
                </c:pt>
                <c:pt idx="33">
                  <c:v>North Dakota</c:v>
                </c:pt>
                <c:pt idx="34">
                  <c:v>Ohio</c:v>
                </c:pt>
                <c:pt idx="35">
                  <c:v>Oklahoma</c:v>
                </c:pt>
                <c:pt idx="36">
                  <c:v>Oregon</c:v>
                </c:pt>
                <c:pt idx="37">
                  <c:v>Pennsylvania</c:v>
                </c:pt>
                <c:pt idx="38">
                  <c:v>Rhode Island</c:v>
                </c:pt>
                <c:pt idx="39">
                  <c:v>South Carolina</c:v>
                </c:pt>
                <c:pt idx="40">
                  <c:v>South Dakota</c:v>
                </c:pt>
                <c:pt idx="41">
                  <c:v>Tennessee</c:v>
                </c:pt>
                <c:pt idx="42">
                  <c:v>Texas</c:v>
                </c:pt>
                <c:pt idx="43">
                  <c:v>Utah</c:v>
                </c:pt>
                <c:pt idx="44">
                  <c:v>Vermont</c:v>
                </c:pt>
                <c:pt idx="45">
                  <c:v>Virginia</c:v>
                </c:pt>
                <c:pt idx="46">
                  <c:v>Washington</c:v>
                </c:pt>
                <c:pt idx="47">
                  <c:v>West Virginia</c:v>
                </c:pt>
                <c:pt idx="48">
                  <c:v>Wisconsin</c:v>
                </c:pt>
                <c:pt idx="49">
                  <c:v>Wyoming</c:v>
                </c:pt>
              </c:strCache>
            </c:strRef>
          </c:cat>
          <c:val>
            <c:numRef>
              <c:f>'EV vs alternative fuels'!$B$2:$B$51</c:f>
              <c:numCache>
                <c:formatCode>0.00%</c:formatCode>
                <c:ptCount val="50"/>
                <c:pt idx="0">
                  <c:v>2.8134533278391599E-3</c:v>
                </c:pt>
                <c:pt idx="1">
                  <c:v>5.2351452752813889E-3</c:v>
                </c:pt>
                <c:pt idx="2">
                  <c:v>1.4539070189223246E-2</c:v>
                </c:pt>
                <c:pt idx="3">
                  <c:v>2.7646048036371299E-3</c:v>
                </c:pt>
                <c:pt idx="4">
                  <c:v>3.5416996663485543E-2</c:v>
                </c:pt>
                <c:pt idx="5">
                  <c:v>1.770187952309054E-2</c:v>
                </c:pt>
                <c:pt idx="6">
                  <c:v>1.1071694477291638E-2</c:v>
                </c:pt>
                <c:pt idx="7">
                  <c:v>9.4724520795415341E-3</c:v>
                </c:pt>
                <c:pt idx="8">
                  <c:v>1.4228890430677644E-2</c:v>
                </c:pt>
                <c:pt idx="9">
                  <c:v>9.9913667670705319E-3</c:v>
                </c:pt>
                <c:pt idx="10">
                  <c:v>2.4367074751712833E-2</c:v>
                </c:pt>
                <c:pt idx="11">
                  <c:v>4.84025176142456E-3</c:v>
                </c:pt>
                <c:pt idx="12">
                  <c:v>1.0245072207700941E-2</c:v>
                </c:pt>
                <c:pt idx="13">
                  <c:v>4.4306067673529131E-3</c:v>
                </c:pt>
                <c:pt idx="14">
                  <c:v>3.0569011581579523E-3</c:v>
                </c:pt>
                <c:pt idx="15">
                  <c:v>4.5464238152140238E-3</c:v>
                </c:pt>
                <c:pt idx="16">
                  <c:v>3.0074837083829721E-3</c:v>
                </c:pt>
                <c:pt idx="17">
                  <c:v>2.2947384445927009E-3</c:v>
                </c:pt>
                <c:pt idx="18">
                  <c:v>6.2603846244953625E-3</c:v>
                </c:pt>
                <c:pt idx="19">
                  <c:v>1.4774535667696308E-2</c:v>
                </c:pt>
                <c:pt idx="20">
                  <c:v>1.3823162788345464E-2</c:v>
                </c:pt>
                <c:pt idx="21">
                  <c:v>6.1302334583023472E-3</c:v>
                </c:pt>
                <c:pt idx="22">
                  <c:v>7.5721826990116569E-3</c:v>
                </c:pt>
                <c:pt idx="23">
                  <c:v>1.3825479436903585E-3</c:v>
                </c:pt>
                <c:pt idx="24">
                  <c:v>5.0479451579228066E-3</c:v>
                </c:pt>
                <c:pt idx="25">
                  <c:v>5.0991677271457515E-3</c:v>
                </c:pt>
                <c:pt idx="26">
                  <c:v>3.7531800041448161E-3</c:v>
                </c:pt>
                <c:pt idx="27">
                  <c:v>1.9638396628493326E-2</c:v>
                </c:pt>
                <c:pt idx="28">
                  <c:v>7.4868413092141085E-3</c:v>
                </c:pt>
                <c:pt idx="29">
                  <c:v>1.8889348355316488E-2</c:v>
                </c:pt>
                <c:pt idx="30">
                  <c:v>5.7048414718712543E-3</c:v>
                </c:pt>
                <c:pt idx="31">
                  <c:v>1.1995071879988621E-2</c:v>
                </c:pt>
                <c:pt idx="32">
                  <c:v>8.0652082426428233E-3</c:v>
                </c:pt>
                <c:pt idx="33">
                  <c:v>1.3775584704692791E-3</c:v>
                </c:pt>
                <c:pt idx="34">
                  <c:v>5.0555721734085327E-3</c:v>
                </c:pt>
                <c:pt idx="35">
                  <c:v>5.6978860842627384E-3</c:v>
                </c:pt>
                <c:pt idx="36">
                  <c:v>1.8497715503412167E-2</c:v>
                </c:pt>
                <c:pt idx="37">
                  <c:v>7.1140715016882747E-3</c:v>
                </c:pt>
                <c:pt idx="38">
                  <c:v>7.5073401845632661E-3</c:v>
                </c:pt>
                <c:pt idx="39">
                  <c:v>4.3219277865836191E-3</c:v>
                </c:pt>
                <c:pt idx="40">
                  <c:v>2.0443184182266619E-3</c:v>
                </c:pt>
                <c:pt idx="41">
                  <c:v>5.2876126842820613E-3</c:v>
                </c:pt>
                <c:pt idx="42">
                  <c:v>9.4312818198168565E-3</c:v>
                </c:pt>
                <c:pt idx="43">
                  <c:v>1.4237895297365561E-2</c:v>
                </c:pt>
                <c:pt idx="44">
                  <c:v>1.3905825471193548E-2</c:v>
                </c:pt>
                <c:pt idx="45">
                  <c:v>1.1362509420243014E-2</c:v>
                </c:pt>
                <c:pt idx="46">
                  <c:v>2.3823101955828117E-2</c:v>
                </c:pt>
                <c:pt idx="47">
                  <c:v>1.956664083404204E-3</c:v>
                </c:pt>
                <c:pt idx="48">
                  <c:v>4.7051327329281625E-3</c:v>
                </c:pt>
                <c:pt idx="49">
                  <c:v>1.97112128130051E-3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C-42AA-8FE9-CC4F17FBC0F6}"/>
            </c:ext>
          </c:extLst>
        </c:ser>
        <c:ser>
          <c:idx val="1"/>
          <c:order val="1"/>
          <c:tx>
            <c:strRef>
              <c:f>'EV vs alternative fuels'!$C$1</c:f>
              <c:strCache>
                <c:ptCount val="1"/>
                <c:pt idx="0">
                  <c:v>Alternative Fuels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'EV vs alternative fuels'!$A$2:$A$51</c:f>
              <c:strCache>
                <c:ptCount val="50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Florida</c:v>
                </c:pt>
                <c:pt idx="9">
                  <c:v>Georgia</c:v>
                </c:pt>
                <c:pt idx="10">
                  <c:v>Hawaii</c:v>
                </c:pt>
                <c:pt idx="11">
                  <c:v>Idaho</c:v>
                </c:pt>
                <c:pt idx="12">
                  <c:v>Illinois</c:v>
                </c:pt>
                <c:pt idx="13">
                  <c:v>Indiana</c:v>
                </c:pt>
                <c:pt idx="14">
                  <c:v>Iowa</c:v>
                </c:pt>
                <c:pt idx="15">
                  <c:v>Kansas</c:v>
                </c:pt>
                <c:pt idx="16">
                  <c:v>Kentucky</c:v>
                </c:pt>
                <c:pt idx="17">
                  <c:v>Louisiana</c:v>
                </c:pt>
                <c:pt idx="18">
                  <c:v>Maine</c:v>
                </c:pt>
                <c:pt idx="19">
                  <c:v>Maryland</c:v>
                </c:pt>
                <c:pt idx="20">
                  <c:v>Massachusetts</c:v>
                </c:pt>
                <c:pt idx="21">
                  <c:v>Michigan</c:v>
                </c:pt>
                <c:pt idx="22">
                  <c:v>Minnesota</c:v>
                </c:pt>
                <c:pt idx="23">
                  <c:v>Mississippi</c:v>
                </c:pt>
                <c:pt idx="24">
                  <c:v>Missouri</c:v>
                </c:pt>
                <c:pt idx="25">
                  <c:v>Montana</c:v>
                </c:pt>
                <c:pt idx="26">
                  <c:v>Nebraska</c:v>
                </c:pt>
                <c:pt idx="27">
                  <c:v>Nevada</c:v>
                </c:pt>
                <c:pt idx="28">
                  <c:v>New Hampshire</c:v>
                </c:pt>
                <c:pt idx="29">
                  <c:v>New Jersey</c:v>
                </c:pt>
                <c:pt idx="30">
                  <c:v>New Mexico</c:v>
                </c:pt>
                <c:pt idx="31">
                  <c:v>New York</c:v>
                </c:pt>
                <c:pt idx="32">
                  <c:v>North Carolina</c:v>
                </c:pt>
                <c:pt idx="33">
                  <c:v>North Dakota</c:v>
                </c:pt>
                <c:pt idx="34">
                  <c:v>Ohio</c:v>
                </c:pt>
                <c:pt idx="35">
                  <c:v>Oklahoma</c:v>
                </c:pt>
                <c:pt idx="36">
                  <c:v>Oregon</c:v>
                </c:pt>
                <c:pt idx="37">
                  <c:v>Pennsylvania</c:v>
                </c:pt>
                <c:pt idx="38">
                  <c:v>Rhode Island</c:v>
                </c:pt>
                <c:pt idx="39">
                  <c:v>South Carolina</c:v>
                </c:pt>
                <c:pt idx="40">
                  <c:v>South Dakota</c:v>
                </c:pt>
                <c:pt idx="41">
                  <c:v>Tennessee</c:v>
                </c:pt>
                <c:pt idx="42">
                  <c:v>Texas</c:v>
                </c:pt>
                <c:pt idx="43">
                  <c:v>Utah</c:v>
                </c:pt>
                <c:pt idx="44">
                  <c:v>Vermont</c:v>
                </c:pt>
                <c:pt idx="45">
                  <c:v>Virginia</c:v>
                </c:pt>
                <c:pt idx="46">
                  <c:v>Washington</c:v>
                </c:pt>
                <c:pt idx="47">
                  <c:v>West Virginia</c:v>
                </c:pt>
                <c:pt idx="48">
                  <c:v>Wisconsin</c:v>
                </c:pt>
                <c:pt idx="49">
                  <c:v>Wyoming</c:v>
                </c:pt>
              </c:strCache>
            </c:strRef>
          </c:cat>
          <c:val>
            <c:numRef>
              <c:f>'EV vs alternative fuels'!$C$2:$C$51</c:f>
              <c:numCache>
                <c:formatCode>0.00%</c:formatCode>
                <c:ptCount val="50"/>
                <c:pt idx="0">
                  <c:v>9.5644860816299679E-2</c:v>
                </c:pt>
                <c:pt idx="1">
                  <c:v>9.0928656603554078E-2</c:v>
                </c:pt>
                <c:pt idx="2">
                  <c:v>7.1090224644824923E-2</c:v>
                </c:pt>
                <c:pt idx="3">
                  <c:v>0.10783399443730363</c:v>
                </c:pt>
                <c:pt idx="4">
                  <c:v>3.7116567183782249E-2</c:v>
                </c:pt>
                <c:pt idx="5">
                  <c:v>6.5892053899374345E-2</c:v>
                </c:pt>
                <c:pt idx="6">
                  <c:v>4.688266981999737E-2</c:v>
                </c:pt>
                <c:pt idx="7">
                  <c:v>7.2115807492709599E-2</c:v>
                </c:pt>
                <c:pt idx="8">
                  <c:v>6.1588097122866996E-2</c:v>
                </c:pt>
                <c:pt idx="9">
                  <c:v>7.7944014609021811E-2</c:v>
                </c:pt>
                <c:pt idx="10">
                  <c:v>3.553595190548621E-2</c:v>
                </c:pt>
                <c:pt idx="11">
                  <c:v>7.6054021765188565E-2</c:v>
                </c:pt>
                <c:pt idx="12">
                  <c:v>7.9596290666687788E-2</c:v>
                </c:pt>
                <c:pt idx="13">
                  <c:v>9.7976333090640202E-2</c:v>
                </c:pt>
                <c:pt idx="14">
                  <c:v>0.11270353017738857</c:v>
                </c:pt>
                <c:pt idx="15">
                  <c:v>0.10222573597750123</c:v>
                </c:pt>
                <c:pt idx="16">
                  <c:v>9.382026914386532E-2</c:v>
                </c:pt>
                <c:pt idx="17">
                  <c:v>0.10657716813604552</c:v>
                </c:pt>
                <c:pt idx="18">
                  <c:v>8.8416934848008014E-2</c:v>
                </c:pt>
                <c:pt idx="19">
                  <c:v>6.3508167387907169E-2</c:v>
                </c:pt>
                <c:pt idx="20">
                  <c:v>5.3459489985230944E-2</c:v>
                </c:pt>
                <c:pt idx="21">
                  <c:v>0.10660317548530608</c:v>
                </c:pt>
                <c:pt idx="22">
                  <c:v>0.1055262238361698</c:v>
                </c:pt>
                <c:pt idx="23">
                  <c:v>0.11354136583447522</c:v>
                </c:pt>
                <c:pt idx="24">
                  <c:v>0.10831576717225559</c:v>
                </c:pt>
                <c:pt idx="25">
                  <c:v>0.10517476843127431</c:v>
                </c:pt>
                <c:pt idx="26">
                  <c:v>0.10742199504906604</c:v>
                </c:pt>
                <c:pt idx="27">
                  <c:v>5.2274594502326154E-2</c:v>
                </c:pt>
                <c:pt idx="28">
                  <c:v>6.7940438018028917E-2</c:v>
                </c:pt>
                <c:pt idx="29">
                  <c:v>5.5025456479740123E-2</c:v>
                </c:pt>
                <c:pt idx="30">
                  <c:v>8.4254969858497772E-2</c:v>
                </c:pt>
                <c:pt idx="31">
                  <c:v>5.4095947054319131E-2</c:v>
                </c:pt>
                <c:pt idx="32">
                  <c:v>7.5390395715651093E-2</c:v>
                </c:pt>
                <c:pt idx="33">
                  <c:v>0.12412352842316392</c:v>
                </c:pt>
                <c:pt idx="34">
                  <c:v>8.3758292291917558E-2</c:v>
                </c:pt>
                <c:pt idx="35">
                  <c:v>8.8279498306128426E-2</c:v>
                </c:pt>
                <c:pt idx="36">
                  <c:v>5.3239814551785128E-2</c:v>
                </c:pt>
                <c:pt idx="37">
                  <c:v>6.7192405333445754E-2</c:v>
                </c:pt>
                <c:pt idx="38">
                  <c:v>4.9185981449831613E-2</c:v>
                </c:pt>
                <c:pt idx="39">
                  <c:v>8.3801145827840456E-2</c:v>
                </c:pt>
                <c:pt idx="40">
                  <c:v>0.1190695224592429</c:v>
                </c:pt>
                <c:pt idx="41">
                  <c:v>8.1198459712054458E-2</c:v>
                </c:pt>
                <c:pt idx="42">
                  <c:v>9.5092938088983753E-2</c:v>
                </c:pt>
                <c:pt idx="43">
                  <c:v>6.6351083717400561E-2</c:v>
                </c:pt>
                <c:pt idx="44">
                  <c:v>6.5262891413331053E-2</c:v>
                </c:pt>
                <c:pt idx="45">
                  <c:v>6.4982177990966464E-2</c:v>
                </c:pt>
                <c:pt idx="46">
                  <c:v>5.3040155161852211E-2</c:v>
                </c:pt>
                <c:pt idx="47">
                  <c:v>8.6423756138160057E-2</c:v>
                </c:pt>
                <c:pt idx="48">
                  <c:v>0.10147761953540876</c:v>
                </c:pt>
                <c:pt idx="49">
                  <c:v>0.10377415967515921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C-42AA-8FE9-CC4F17FBC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1671752"/>
        <c:axId val="881668152"/>
      </c:barChart>
      <c:catAx>
        <c:axId val="881671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DZ"/>
          </a:p>
        </c:txPr>
        <c:crossAx val="881668152"/>
        <c:crosses val="autoZero"/>
        <c:auto val="1"/>
        <c:lblAlgn val="ctr"/>
        <c:lblOffset val="100"/>
        <c:noMultiLvlLbl val="0"/>
      </c:catAx>
      <c:valAx>
        <c:axId val="88166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DZ"/>
          </a:p>
        </c:txPr>
        <c:crossAx val="881671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D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D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233362</xdr:colOff>
      <xdr:row>28</xdr:row>
      <xdr:rowOff>14287</xdr:rowOff>
    </xdr:from>
    <xdr:to>
      <xdr:col>11</xdr:col>
      <xdr:colOff>538162</xdr:colOff>
      <xdr:row>42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FC87DA-5144-8F70-E75A-19FBDF568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8943C0-9F87-423A-82BD-3325ED093A5D}" autoFormatId="16" applyNumberFormats="0" applyBorderFormats="0" applyFontFormats="0" applyPatternFormats="0" applyAlignmentFormats="0" applyWidthHeightFormats="0">
  <queryTableRefresh nextId="14">
    <queryTableFields count="13">
      <queryTableField id="1" name="State" tableColumnId="14"/>
      <queryTableField id="2" name="Electric (EV)" tableColumnId="2"/>
      <queryTableField id="3" name="Plug-In Hybrid Electric (PHEV)" tableColumnId="3"/>
      <queryTableField id="4" name="Hybrid Electric (HEV)" tableColumnId="4"/>
      <queryTableField id="5" name="Biodiesel" tableColumnId="5"/>
      <queryTableField id="6" name="Ethanol/Flex (E85)" tableColumnId="6"/>
      <queryTableField id="7" name="Compressed Natural Gas (CNG)" tableColumnId="7"/>
      <queryTableField id="8" name="Propane" tableColumnId="8"/>
      <queryTableField id="9" name="Hydrogen" tableColumnId="9"/>
      <queryTableField id="10" name="Methanol" tableColumnId="10"/>
      <queryTableField id="11" name="Gasoline" tableColumnId="11"/>
      <queryTableField id="12" name="Diesel" tableColumnId="12"/>
      <queryTableField id="13" name="Unknown Fuel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4BC2AA98-ED75-43B0-A962-6CA76CE1D448}" autoFormatId="16" applyNumberFormats="0" applyBorderFormats="0" applyFontFormats="0" applyPatternFormats="0" applyAlignmentFormats="0" applyWidthHeightFormats="0">
  <queryTableRefresh nextId="19" unboundColumnsRight="1">
    <queryTableFields count="8">
      <queryTableField id="1" name="State" tableColumnId="14"/>
      <queryTableField id="2" name="Electric (EV)" tableColumnId="2"/>
      <queryTableField id="3" name="Plug-In Hybrid Electric (PHEV)" tableColumnId="3"/>
      <queryTableField id="4" name="Hybrid Electric (HEV)" tableColumnId="4"/>
      <queryTableField id="17" dataBound="0" tableColumnId="18"/>
      <queryTableField id="15" dataBound="0" tableColumnId="16"/>
      <queryTableField id="13" name="Unknown Fuel" tableColumnId="13"/>
      <queryTableField id="18" dataBound="0" tableColumnId="19"/>
    </queryTableFields>
    <queryTableDeletedFields count="8">
      <deletedField name="Gasoline"/>
      <deletedField name="Diesel"/>
      <deletedField name="Biodiesel"/>
      <deletedField name="Ethanol/Flex (E85)"/>
      <deletedField name="Compressed Natural Gas (CNG)"/>
      <deletedField name="Propane"/>
      <deletedField name="Hydrogen"/>
      <deletedField name="Methanol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8F681F-34E1-4FDA-9B00-C21D868478CB}" name="Table2" displayName="Table2" ref="A3:F4" totalsRowShown="0">
  <autoFilter ref="A3:F4" xr:uid="{F48F681F-34E1-4FDA-9B00-C21D868478CB}"/>
  <tableColumns count="6">
    <tableColumn id="1" xr3:uid="{1CA7E161-38BE-4622-B8E4-D91FDD48D63F}" name="State"/>
    <tableColumn id="2" xr3:uid="{A3425B64-0CE3-49AC-B337-C3DC4E1D5FAD}" name="Electric (EV)"/>
    <tableColumn id="3" xr3:uid="{5F46C6E6-332B-4636-A23B-D03E74D4FDE9}" name="Hybrids (PHEV, HEV)"/>
    <tableColumn id="4" xr3:uid="{180E94B6-4C88-4BC4-9CD1-255FBE96099E}" name="Alternative Fuels"/>
    <tableColumn id="5" xr3:uid="{A21C06B8-6F0C-4922-A302-01EF9CFC985B}" name="Conventional Fossil Fuels"/>
    <tableColumn id="6" xr3:uid="{1798883A-5965-43C2-8A4D-189C2FE93560}" name="Unknown Fu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D29D800-5312-4DFF-A735-F1EF387C1DDF}" name="Vehicle_Data" displayName="Vehicle_Data" ref="A1:M51" tableType="queryTable" totalsRowShown="0">
  <autoFilter ref="A1:M51" xr:uid="{7D29D800-5312-4DFF-A735-F1EF387C1DDF}"/>
  <sortState xmlns:xlrd2="http://schemas.microsoft.com/office/spreadsheetml/2017/richdata2" ref="A2:M51">
    <sortCondition ref="A1:A51"/>
  </sortState>
  <tableColumns count="13">
    <tableColumn id="14" xr3:uid="{F4E89E3B-85D4-44B2-9FBD-F3AD31511571}" uniqueName="14" name="State" queryTableFieldId="1" dataDxfId="18"/>
    <tableColumn id="2" xr3:uid="{7AB2DC79-F688-484D-8AA9-4E288388572B}" uniqueName="2" name="Electric (EV)" queryTableFieldId="2"/>
    <tableColumn id="3" xr3:uid="{F1598F41-6620-4C15-9CA0-913DD84546BB}" uniqueName="3" name="Plug-In Hybrid Electric (PHEV)" queryTableFieldId="3"/>
    <tableColumn id="4" xr3:uid="{9DB297AA-C25E-431B-87CB-9500F226DE16}" uniqueName="4" name="Hybrid Electric (HEV)" queryTableFieldId="4"/>
    <tableColumn id="5" xr3:uid="{D898E76F-1B7A-4D76-8CB9-52073A0488EB}" uniqueName="5" name="Biodiesel" queryTableFieldId="5"/>
    <tableColumn id="6" xr3:uid="{1D4B91FA-7129-412D-BF49-35A1C902DFFD}" uniqueName="6" name="Ethanol/Flex (E85)" queryTableFieldId="6"/>
    <tableColumn id="7" xr3:uid="{1E9C5B7E-49E0-4133-81B0-AE2DD5303B3C}" uniqueName="7" name="Compressed Natural Gas (CNG)" queryTableFieldId="7"/>
    <tableColumn id="8" xr3:uid="{C3026F93-0995-4A7A-977D-7EED60D8601D}" uniqueName="8" name="Propane" queryTableFieldId="8"/>
    <tableColumn id="9" xr3:uid="{8CC7CB6A-79AE-4527-8E80-A01204045510}" uniqueName="9" name="Hydrogen" queryTableFieldId="9"/>
    <tableColumn id="10" xr3:uid="{3149470E-E78F-4F42-BE0D-677A917C2249}" uniqueName="10" name="Methanol" queryTableFieldId="10"/>
    <tableColumn id="11" xr3:uid="{5FD4EABD-A48E-4D23-ABEE-8947CED0F894}" uniqueName="11" name="Gasoline" queryTableFieldId="11"/>
    <tableColumn id="12" xr3:uid="{E8459114-0906-4E08-8226-C7866682C879}" uniqueName="12" name="Diesel" queryTableFieldId="12"/>
    <tableColumn id="13" xr3:uid="{41359989-DDD1-4DDF-9F15-D9E248935639}" uniqueName="13" name="Unknown Fuel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A570B4-DB72-456A-B8BB-9D0E52E754CC}" name="Vehicule_data_cleaned" displayName="Vehicule_data_cleaned" ref="A1:H52" tableType="queryTable" totalsRowShown="0">
  <autoFilter ref="A1:H52" xr:uid="{0CA570B4-DB72-456A-B8BB-9D0E52E754CC}"/>
  <sortState xmlns:xlrd2="http://schemas.microsoft.com/office/spreadsheetml/2017/richdata2" ref="A2:H51">
    <sortCondition ref="A1:A51"/>
  </sortState>
  <tableColumns count="8">
    <tableColumn id="14" xr3:uid="{07F2F183-0B13-4C8B-97BE-2F379039D179}" uniqueName="14" name="State" queryTableFieldId="1" dataDxfId="17" totalsRowDxfId="16"/>
    <tableColumn id="2" xr3:uid="{A31811DC-6F03-4C4C-BE53-6E6885075ADF}" uniqueName="2" name="Electric (EV)" queryTableFieldId="2" dataDxfId="15"/>
    <tableColumn id="3" xr3:uid="{88F556AE-9BFF-46FA-B248-9E45B7AEA958}" uniqueName="3" name="Plug-In Hybrid Electric (PHEV)" queryTableFieldId="3" dataDxfId="14"/>
    <tableColumn id="4" xr3:uid="{94537882-530D-426E-882F-65D305AF16E1}" uniqueName="4" name="Hybrid Electric (HEV)" queryTableFieldId="4" dataDxfId="13"/>
    <tableColumn id="18" xr3:uid="{7EFC6375-ACCB-4249-812E-F2808037577B}" uniqueName="18" name="Alternative Fuels" queryTableFieldId="17" dataDxfId="12"/>
    <tableColumn id="16" xr3:uid="{47CCE26F-452A-44EB-A392-FCE0CCB3F1BC}" uniqueName="16" name="Conventional Fossil Fuels" queryTableFieldId="15" dataDxfId="11"/>
    <tableColumn id="13" xr3:uid="{95E97A83-0A46-4BE0-B34E-97D5DB86CE22}" uniqueName="13" name="Unknown Fuel" queryTableFieldId="13" dataDxfId="10"/>
    <tableColumn id="19" xr3:uid="{93D6ABA1-B767-4370-B277-CD97E240F610}" uniqueName="19" name="Sum" queryTableFieldId="18" dataDxfId="9">
      <calculatedColumnFormula>SUM(Vehicule_data_cleaned[[#This Row],[Electric (EV)]:[Unknown Fuel]])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B44B660-BF2B-43E7-BF3D-9B4C5502D6C9}" name="Table12" displayName="Table12" ref="A1:E52" totalsRowShown="0">
  <autoFilter ref="A1:E52" xr:uid="{4B44B660-BF2B-43E7-BF3D-9B4C5502D6C9}"/>
  <tableColumns count="5">
    <tableColumn id="1" xr3:uid="{8B6691F6-0F67-4D35-8232-A5470F9BF8A5}" name="State"/>
    <tableColumn id="4" xr3:uid="{18D5181B-779E-4D9B-9B60-AC8D14BE5E41}" name="Hybrid Electric (HEV)" dataDxfId="8" totalsRowDxfId="7" dataCellStyle="Percent"/>
    <tableColumn id="5" xr3:uid="{79D2B4B9-78C5-406C-A103-EEE7B5B52D62}" name="Alternative Fuels" dataDxfId="6" totalsRowDxfId="5" dataCellStyle="Percent"/>
    <tableColumn id="6" xr3:uid="{947196B9-4E01-49F8-B362-6E62F7A3EF71}" name="Conventional Fossil Fuels" dataDxfId="4" totalsRowDxfId="3" dataCellStyle="Percent"/>
    <tableColumn id="7" xr3:uid="{A0DA9309-A9A8-4077-8CF2-9FABC2AE2C46}" name="Unknown Fuel" dataDxfId="2" totalsRowDxfId="1" dataCellStyle="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CA363B4-2282-44A3-9328-32CD9341C8DE}" name="Table31" displayName="Table31" ref="G24:G25" totalsRowShown="0" dataDxfId="0" dataCellStyle="Percent">
  <autoFilter ref="G24:G25" xr:uid="{0CA363B4-2282-44A3-9328-32CD9341C8DE}"/>
  <tableColumns count="1">
    <tableColumn id="1" xr3:uid="{2D856B54-6BBE-4CBA-A80B-C8F3949996D8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610E1-CDE2-428C-8E04-1A4906121453}">
  <dimension ref="A1:F4"/>
  <sheetViews>
    <sheetView workbookViewId="0">
      <selection activeCell="A3" sqref="A3:F4"/>
    </sheetView>
  </sheetViews>
  <sheetFormatPr defaultRowHeight="15" x14ac:dyDescent="0.25"/>
  <cols>
    <col min="1" max="1" width="9.42578125" bestFit="1" customWidth="1"/>
    <col min="2" max="2" width="13.85546875" bestFit="1" customWidth="1"/>
    <col min="3" max="3" width="21.42578125" bestFit="1" customWidth="1"/>
    <col min="4" max="4" width="18.5703125" bestFit="1" customWidth="1"/>
    <col min="5" max="5" width="26.140625" bestFit="1" customWidth="1"/>
    <col min="6" max="6" width="16.28515625" bestFit="1" customWidth="1"/>
  </cols>
  <sheetData>
    <row r="1" spans="1:6" x14ac:dyDescent="0.25">
      <c r="A1" s="1" t="s">
        <v>56</v>
      </c>
    </row>
    <row r="3" spans="1:6" x14ac:dyDescent="0.25">
      <c r="A3" t="s">
        <v>0</v>
      </c>
      <c r="B3" t="s">
        <v>1</v>
      </c>
      <c r="C3" t="s">
        <v>53</v>
      </c>
      <c r="D3" t="s">
        <v>54</v>
      </c>
      <c r="E3" t="s">
        <v>55</v>
      </c>
      <c r="F3" t="s">
        <v>2</v>
      </c>
    </row>
    <row r="4" spans="1:6" x14ac:dyDescent="0.25">
      <c r="A4" t="s">
        <v>10</v>
      </c>
      <c r="B4">
        <v>8400</v>
      </c>
      <c r="C4">
        <v>22938</v>
      </c>
      <c r="D4">
        <v>63951</v>
      </c>
      <c r="E4">
        <v>791442</v>
      </c>
      <c r="F4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1C9A9-3F90-4351-BCEA-C89AED38251E}">
  <dimension ref="A1:M51"/>
  <sheetViews>
    <sheetView workbookViewId="0">
      <selection activeCell="G18" sqref="G18"/>
    </sheetView>
  </sheetViews>
  <sheetFormatPr defaultRowHeight="15" x14ac:dyDescent="0.25"/>
  <cols>
    <col min="1" max="1" width="15.28515625" bestFit="1" customWidth="1"/>
    <col min="2" max="2" width="13.85546875" bestFit="1" customWidth="1"/>
    <col min="3" max="3" width="29.85546875" bestFit="1" customWidth="1"/>
    <col min="4" max="4" width="21.7109375" bestFit="1" customWidth="1"/>
    <col min="5" max="5" width="11.5703125" bestFit="1" customWidth="1"/>
    <col min="6" max="6" width="19.7109375" bestFit="1" customWidth="1"/>
    <col min="7" max="7" width="31.42578125" bestFit="1" customWidth="1"/>
    <col min="8" max="8" width="10.7109375" bestFit="1" customWidth="1"/>
    <col min="9" max="9" width="11.85546875" bestFit="1" customWidth="1"/>
    <col min="10" max="10" width="12" bestFit="1" customWidth="1"/>
    <col min="11" max="11" width="11.140625" bestFit="1" customWidth="1"/>
    <col min="12" max="12" width="8.85546875" bestFit="1" customWidth="1"/>
    <col min="13" max="13" width="16.28515625" bestFit="1" customWidth="1"/>
  </cols>
  <sheetData>
    <row r="1" spans="1:13" x14ac:dyDescent="0.25">
      <c r="A1" t="s">
        <v>0</v>
      </c>
      <c r="B1" t="s">
        <v>1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2</v>
      </c>
    </row>
    <row r="2" spans="1:13" x14ac:dyDescent="0.25">
      <c r="A2" t="s">
        <v>3</v>
      </c>
      <c r="B2">
        <v>13000</v>
      </c>
      <c r="C2">
        <v>58</v>
      </c>
      <c r="D2">
        <v>63300</v>
      </c>
      <c r="E2">
        <v>542</v>
      </c>
      <c r="F2">
        <v>441200</v>
      </c>
      <c r="G2">
        <v>100</v>
      </c>
      <c r="H2">
        <v>100</v>
      </c>
      <c r="I2">
        <v>0</v>
      </c>
      <c r="J2">
        <v>0</v>
      </c>
      <c r="K2">
        <v>4102200</v>
      </c>
      <c r="L2">
        <v>127</v>
      </c>
      <c r="M2">
        <v>29</v>
      </c>
    </row>
    <row r="3" spans="1:13" x14ac:dyDescent="0.25">
      <c r="A3" t="s">
        <v>4</v>
      </c>
      <c r="B3">
        <v>2700</v>
      </c>
      <c r="C3">
        <v>900</v>
      </c>
      <c r="D3">
        <v>10600</v>
      </c>
      <c r="E3">
        <v>96</v>
      </c>
      <c r="F3">
        <v>46800</v>
      </c>
      <c r="G3">
        <v>0</v>
      </c>
      <c r="H3">
        <v>0</v>
      </c>
      <c r="I3">
        <v>0</v>
      </c>
      <c r="J3">
        <v>0</v>
      </c>
      <c r="K3">
        <v>454300</v>
      </c>
      <c r="L3">
        <v>298</v>
      </c>
      <c r="M3">
        <v>51</v>
      </c>
    </row>
    <row r="4" spans="1:13" x14ac:dyDescent="0.25">
      <c r="A4" t="s">
        <v>5</v>
      </c>
      <c r="B4">
        <v>89800</v>
      </c>
      <c r="C4">
        <v>256</v>
      </c>
      <c r="D4">
        <v>175700</v>
      </c>
      <c r="E4">
        <v>686</v>
      </c>
      <c r="F4">
        <v>437100</v>
      </c>
      <c r="G4">
        <v>600</v>
      </c>
      <c r="H4">
        <v>700</v>
      </c>
      <c r="I4">
        <v>0</v>
      </c>
      <c r="J4">
        <v>0</v>
      </c>
      <c r="K4">
        <v>5469000</v>
      </c>
      <c r="L4">
        <v>1977</v>
      </c>
      <c r="M4">
        <v>642</v>
      </c>
    </row>
    <row r="5" spans="1:13" x14ac:dyDescent="0.25">
      <c r="A5" t="s">
        <v>6</v>
      </c>
      <c r="B5">
        <v>7100</v>
      </c>
      <c r="C5">
        <v>32</v>
      </c>
      <c r="D5">
        <v>37000</v>
      </c>
      <c r="E5">
        <v>37</v>
      </c>
      <c r="F5">
        <v>276700</v>
      </c>
      <c r="G5">
        <v>200</v>
      </c>
      <c r="H5">
        <v>0</v>
      </c>
      <c r="I5">
        <v>0</v>
      </c>
      <c r="J5">
        <v>0</v>
      </c>
      <c r="K5">
        <v>2246100</v>
      </c>
      <c r="L5">
        <v>907</v>
      </c>
      <c r="M5">
        <v>103</v>
      </c>
    </row>
    <row r="6" spans="1:13" x14ac:dyDescent="0.25">
      <c r="A6" t="s">
        <v>7</v>
      </c>
      <c r="B6">
        <v>1256600</v>
      </c>
      <c r="C6">
        <v>4107</v>
      </c>
      <c r="D6">
        <v>1703200</v>
      </c>
      <c r="E6">
        <v>2016</v>
      </c>
      <c r="F6">
        <v>1314600</v>
      </c>
      <c r="G6">
        <v>101</v>
      </c>
      <c r="H6">
        <v>15</v>
      </c>
      <c r="I6">
        <v>169</v>
      </c>
      <c r="J6">
        <v>0</v>
      </c>
      <c r="K6">
        <v>31191900</v>
      </c>
      <c r="L6">
        <v>7353</v>
      </c>
      <c r="M6">
        <v>79</v>
      </c>
    </row>
    <row r="7" spans="1:13" x14ac:dyDescent="0.25">
      <c r="A7" t="s">
        <v>8</v>
      </c>
      <c r="B7">
        <v>90100</v>
      </c>
      <c r="C7">
        <v>375</v>
      </c>
      <c r="D7">
        <v>152700</v>
      </c>
      <c r="E7">
        <v>681</v>
      </c>
      <c r="F7">
        <v>334300</v>
      </c>
      <c r="G7">
        <v>300</v>
      </c>
      <c r="H7">
        <v>100</v>
      </c>
      <c r="I7">
        <v>0</v>
      </c>
      <c r="J7">
        <v>0</v>
      </c>
      <c r="K7">
        <v>4508800</v>
      </c>
      <c r="L7">
        <v>2034</v>
      </c>
      <c r="M7">
        <v>465</v>
      </c>
    </row>
    <row r="8" spans="1:13" x14ac:dyDescent="0.25">
      <c r="A8" t="s">
        <v>9</v>
      </c>
      <c r="B8">
        <v>31600</v>
      </c>
      <c r="C8">
        <v>184</v>
      </c>
      <c r="D8">
        <v>75300</v>
      </c>
      <c r="E8">
        <v>109</v>
      </c>
      <c r="F8">
        <v>133600</v>
      </c>
      <c r="G8">
        <v>100</v>
      </c>
      <c r="H8">
        <v>0</v>
      </c>
      <c r="I8">
        <v>0</v>
      </c>
      <c r="J8">
        <v>0</v>
      </c>
      <c r="K8">
        <v>2612600</v>
      </c>
      <c r="L8">
        <v>423</v>
      </c>
      <c r="M8">
        <v>209</v>
      </c>
    </row>
    <row r="9" spans="1:13" x14ac:dyDescent="0.25">
      <c r="A9" t="s">
        <v>10</v>
      </c>
      <c r="B9">
        <v>8400</v>
      </c>
      <c r="C9">
        <v>38</v>
      </c>
      <c r="D9">
        <v>22900</v>
      </c>
      <c r="E9">
        <v>51</v>
      </c>
      <c r="F9">
        <v>63900</v>
      </c>
      <c r="G9">
        <v>0</v>
      </c>
      <c r="H9">
        <v>0</v>
      </c>
      <c r="I9">
        <v>0</v>
      </c>
      <c r="J9">
        <v>0</v>
      </c>
      <c r="K9">
        <v>791300</v>
      </c>
      <c r="L9">
        <v>142</v>
      </c>
      <c r="M9">
        <v>51</v>
      </c>
    </row>
    <row r="10" spans="1:13" x14ac:dyDescent="0.25">
      <c r="A10" t="s">
        <v>11</v>
      </c>
      <c r="B10">
        <v>254900</v>
      </c>
      <c r="C10">
        <v>573</v>
      </c>
      <c r="D10">
        <v>414500</v>
      </c>
      <c r="E10">
        <v>1705</v>
      </c>
      <c r="F10">
        <v>1101100</v>
      </c>
      <c r="G10">
        <v>400</v>
      </c>
      <c r="H10">
        <v>100</v>
      </c>
      <c r="I10">
        <v>0</v>
      </c>
      <c r="J10">
        <v>0</v>
      </c>
      <c r="K10">
        <v>16136500</v>
      </c>
      <c r="L10">
        <v>3518</v>
      </c>
      <c r="M10">
        <v>961</v>
      </c>
    </row>
    <row r="11" spans="1:13" x14ac:dyDescent="0.25">
      <c r="A11" t="s">
        <v>12</v>
      </c>
      <c r="B11">
        <v>92400</v>
      </c>
      <c r="C11">
        <v>227</v>
      </c>
      <c r="D11">
        <v>175300</v>
      </c>
      <c r="E11">
        <v>925</v>
      </c>
      <c r="F11">
        <v>719400</v>
      </c>
      <c r="G11">
        <v>300</v>
      </c>
      <c r="H11">
        <v>200</v>
      </c>
      <c r="I11">
        <v>0</v>
      </c>
      <c r="J11">
        <v>0</v>
      </c>
      <c r="K11">
        <v>8256400</v>
      </c>
      <c r="L11">
        <v>2063</v>
      </c>
      <c r="M11">
        <v>769</v>
      </c>
    </row>
    <row r="12" spans="1:13" x14ac:dyDescent="0.25">
      <c r="A12" t="s">
        <v>13</v>
      </c>
      <c r="B12">
        <v>25600</v>
      </c>
      <c r="C12">
        <v>73</v>
      </c>
      <c r="D12">
        <v>36400</v>
      </c>
      <c r="E12">
        <v>34</v>
      </c>
      <c r="F12">
        <v>37300</v>
      </c>
      <c r="G12">
        <v>0</v>
      </c>
      <c r="H12">
        <v>0</v>
      </c>
      <c r="I12">
        <v>0</v>
      </c>
      <c r="J12">
        <v>0</v>
      </c>
      <c r="K12">
        <v>951000</v>
      </c>
      <c r="L12">
        <v>154</v>
      </c>
      <c r="M12">
        <v>37</v>
      </c>
    </row>
    <row r="13" spans="1:13" x14ac:dyDescent="0.25">
      <c r="A13" t="s">
        <v>14</v>
      </c>
      <c r="B13">
        <v>8500</v>
      </c>
      <c r="C13">
        <v>46</v>
      </c>
      <c r="D13">
        <v>43700</v>
      </c>
      <c r="E13">
        <v>459</v>
      </c>
      <c r="F13">
        <v>132900</v>
      </c>
      <c r="G13">
        <v>100</v>
      </c>
      <c r="H13">
        <v>100</v>
      </c>
      <c r="I13">
        <v>0</v>
      </c>
      <c r="J13">
        <v>0</v>
      </c>
      <c r="K13">
        <v>1568600</v>
      </c>
      <c r="L13">
        <v>1386</v>
      </c>
      <c r="M13">
        <v>316</v>
      </c>
    </row>
    <row r="14" spans="1:13" x14ac:dyDescent="0.25">
      <c r="A14" t="s">
        <v>15</v>
      </c>
      <c r="B14">
        <v>99600</v>
      </c>
      <c r="C14">
        <v>334</v>
      </c>
      <c r="D14">
        <v>285400</v>
      </c>
      <c r="E14">
        <v>615</v>
      </c>
      <c r="F14">
        <v>772900</v>
      </c>
      <c r="G14">
        <v>300</v>
      </c>
      <c r="H14">
        <v>0</v>
      </c>
      <c r="I14">
        <v>0</v>
      </c>
      <c r="J14">
        <v>0</v>
      </c>
      <c r="K14">
        <v>8560300</v>
      </c>
      <c r="L14">
        <v>1702</v>
      </c>
      <c r="M14">
        <v>596</v>
      </c>
    </row>
    <row r="15" spans="1:13" x14ac:dyDescent="0.25">
      <c r="A15" t="s">
        <v>16</v>
      </c>
      <c r="B15">
        <v>26100</v>
      </c>
      <c r="C15">
        <v>129</v>
      </c>
      <c r="D15">
        <v>119100</v>
      </c>
      <c r="E15">
        <v>563</v>
      </c>
      <c r="F15">
        <v>576300</v>
      </c>
      <c r="G15">
        <v>300</v>
      </c>
      <c r="H15">
        <v>0</v>
      </c>
      <c r="I15">
        <v>0</v>
      </c>
      <c r="J15">
        <v>0</v>
      </c>
      <c r="K15">
        <v>5166200</v>
      </c>
      <c r="L15">
        <v>1564</v>
      </c>
      <c r="M15">
        <v>585</v>
      </c>
    </row>
    <row r="16" spans="1:13" x14ac:dyDescent="0.25">
      <c r="A16" t="s">
        <v>17</v>
      </c>
      <c r="B16">
        <v>9000</v>
      </c>
      <c r="C16">
        <v>61</v>
      </c>
      <c r="D16">
        <v>57200</v>
      </c>
      <c r="E16">
        <v>417</v>
      </c>
      <c r="F16">
        <v>331300</v>
      </c>
      <c r="G16">
        <v>100</v>
      </c>
      <c r="H16">
        <v>0</v>
      </c>
      <c r="I16">
        <v>0</v>
      </c>
      <c r="J16">
        <v>0</v>
      </c>
      <c r="K16">
        <v>2545400</v>
      </c>
      <c r="L16">
        <v>105</v>
      </c>
      <c r="M16">
        <v>575</v>
      </c>
    </row>
    <row r="17" spans="1:13" x14ac:dyDescent="0.25">
      <c r="A17" t="s">
        <v>18</v>
      </c>
      <c r="B17">
        <v>11300</v>
      </c>
      <c r="C17">
        <v>56</v>
      </c>
      <c r="D17">
        <v>50400</v>
      </c>
      <c r="E17">
        <v>279</v>
      </c>
      <c r="F17">
        <v>253500</v>
      </c>
      <c r="G17">
        <v>200</v>
      </c>
      <c r="H17">
        <v>100</v>
      </c>
      <c r="I17">
        <v>0</v>
      </c>
      <c r="J17">
        <v>0</v>
      </c>
      <c r="K17">
        <v>2168600</v>
      </c>
      <c r="L17">
        <v>874</v>
      </c>
      <c r="M17">
        <v>161</v>
      </c>
    </row>
    <row r="18" spans="1:13" x14ac:dyDescent="0.25">
      <c r="A18" t="s">
        <v>19</v>
      </c>
      <c r="B18">
        <v>11600</v>
      </c>
      <c r="C18">
        <v>56</v>
      </c>
      <c r="D18">
        <v>67100</v>
      </c>
      <c r="E18">
        <v>369</v>
      </c>
      <c r="F18">
        <v>361200</v>
      </c>
      <c r="G18">
        <v>300</v>
      </c>
      <c r="H18">
        <v>0</v>
      </c>
      <c r="I18">
        <v>0</v>
      </c>
      <c r="J18">
        <v>0</v>
      </c>
      <c r="K18">
        <v>3415000</v>
      </c>
      <c r="L18">
        <v>1176</v>
      </c>
      <c r="M18">
        <v>244</v>
      </c>
    </row>
    <row r="19" spans="1:13" x14ac:dyDescent="0.25">
      <c r="A19" t="s">
        <v>20</v>
      </c>
      <c r="B19">
        <v>8200</v>
      </c>
      <c r="C19">
        <v>4</v>
      </c>
      <c r="D19">
        <v>40200</v>
      </c>
      <c r="E19">
        <v>642</v>
      </c>
      <c r="F19">
        <v>380100</v>
      </c>
      <c r="G19">
        <v>100</v>
      </c>
      <c r="H19">
        <v>0</v>
      </c>
      <c r="I19">
        <v>0</v>
      </c>
      <c r="J19">
        <v>0</v>
      </c>
      <c r="K19">
        <v>3142800</v>
      </c>
      <c r="L19">
        <v>1155</v>
      </c>
      <c r="M19">
        <v>191</v>
      </c>
    </row>
    <row r="20" spans="1:13" x14ac:dyDescent="0.25">
      <c r="A20" t="s">
        <v>21</v>
      </c>
      <c r="B20">
        <v>7400</v>
      </c>
      <c r="C20">
        <v>76</v>
      </c>
      <c r="D20">
        <v>33600</v>
      </c>
      <c r="E20">
        <v>12</v>
      </c>
      <c r="F20">
        <v>104500</v>
      </c>
      <c r="G20">
        <v>0</v>
      </c>
      <c r="H20">
        <v>0</v>
      </c>
      <c r="I20">
        <v>0</v>
      </c>
      <c r="J20">
        <v>0</v>
      </c>
      <c r="K20">
        <v>1036100</v>
      </c>
      <c r="L20">
        <v>269</v>
      </c>
      <c r="M20">
        <v>79</v>
      </c>
    </row>
    <row r="21" spans="1:13" x14ac:dyDescent="0.25">
      <c r="A21" t="s">
        <v>22</v>
      </c>
      <c r="B21">
        <v>72100</v>
      </c>
      <c r="C21">
        <v>313</v>
      </c>
      <c r="D21">
        <v>168700</v>
      </c>
      <c r="E21">
        <v>321</v>
      </c>
      <c r="F21">
        <v>309300</v>
      </c>
      <c r="G21">
        <v>300</v>
      </c>
      <c r="H21">
        <v>0</v>
      </c>
      <c r="I21">
        <v>0</v>
      </c>
      <c r="J21">
        <v>0</v>
      </c>
      <c r="K21">
        <v>4327800</v>
      </c>
      <c r="L21">
        <v>869</v>
      </c>
      <c r="M21">
        <v>315</v>
      </c>
    </row>
    <row r="22" spans="1:13" x14ac:dyDescent="0.25">
      <c r="A22" t="s">
        <v>23</v>
      </c>
      <c r="B22">
        <v>73800</v>
      </c>
      <c r="C22">
        <v>438</v>
      </c>
      <c r="D22">
        <v>187300</v>
      </c>
      <c r="E22">
        <v>213</v>
      </c>
      <c r="F22">
        <v>285000</v>
      </c>
      <c r="G22">
        <v>200</v>
      </c>
      <c r="H22">
        <v>0</v>
      </c>
      <c r="I22">
        <v>0</v>
      </c>
      <c r="J22">
        <v>0</v>
      </c>
      <c r="K22">
        <v>4791300</v>
      </c>
      <c r="L22">
        <v>584</v>
      </c>
      <c r="M22">
        <v>30</v>
      </c>
    </row>
    <row r="23" spans="1:13" x14ac:dyDescent="0.25">
      <c r="A23" t="s">
        <v>24</v>
      </c>
      <c r="B23">
        <v>50300</v>
      </c>
      <c r="C23">
        <v>291</v>
      </c>
      <c r="D23">
        <v>148100</v>
      </c>
      <c r="E23">
        <v>704</v>
      </c>
      <c r="F23">
        <v>873700</v>
      </c>
      <c r="G23">
        <v>300</v>
      </c>
      <c r="H23">
        <v>0</v>
      </c>
      <c r="I23">
        <v>0</v>
      </c>
      <c r="J23">
        <v>0</v>
      </c>
      <c r="K23">
        <v>7129600</v>
      </c>
      <c r="L23">
        <v>1745</v>
      </c>
      <c r="M23">
        <v>494</v>
      </c>
    </row>
    <row r="24" spans="1:13" x14ac:dyDescent="0.25">
      <c r="A24" t="s">
        <v>25</v>
      </c>
      <c r="B24">
        <v>37100</v>
      </c>
      <c r="C24">
        <v>161</v>
      </c>
      <c r="D24">
        <v>124500</v>
      </c>
      <c r="E24">
        <v>527</v>
      </c>
      <c r="F24">
        <v>516400</v>
      </c>
      <c r="G24">
        <v>100</v>
      </c>
      <c r="H24">
        <v>0</v>
      </c>
      <c r="I24">
        <v>0</v>
      </c>
      <c r="J24">
        <v>0</v>
      </c>
      <c r="K24">
        <v>4219200</v>
      </c>
      <c r="L24">
        <v>1279</v>
      </c>
      <c r="M24">
        <v>245</v>
      </c>
    </row>
    <row r="25" spans="1:13" x14ac:dyDescent="0.25">
      <c r="A25" t="s">
        <v>26</v>
      </c>
      <c r="B25">
        <v>3600</v>
      </c>
      <c r="C25">
        <v>2</v>
      </c>
      <c r="D25">
        <v>28200</v>
      </c>
      <c r="E25">
        <v>349</v>
      </c>
      <c r="F25">
        <v>295200</v>
      </c>
      <c r="G25">
        <v>100</v>
      </c>
      <c r="H25">
        <v>0</v>
      </c>
      <c r="I25">
        <v>0</v>
      </c>
      <c r="J25">
        <v>0</v>
      </c>
      <c r="K25">
        <v>2275600</v>
      </c>
      <c r="L25">
        <v>752</v>
      </c>
      <c r="M25">
        <v>85</v>
      </c>
    </row>
    <row r="26" spans="1:13" x14ac:dyDescent="0.25">
      <c r="A26" t="s">
        <v>27</v>
      </c>
      <c r="B26">
        <v>26900</v>
      </c>
      <c r="C26">
        <v>139</v>
      </c>
      <c r="D26">
        <v>113900</v>
      </c>
      <c r="E26">
        <v>704</v>
      </c>
      <c r="F26">
        <v>575500</v>
      </c>
      <c r="G26">
        <v>900</v>
      </c>
      <c r="H26">
        <v>100</v>
      </c>
      <c r="I26">
        <v>0</v>
      </c>
      <c r="J26">
        <v>0</v>
      </c>
      <c r="K26">
        <v>4608600</v>
      </c>
      <c r="L26">
        <v>1782</v>
      </c>
      <c r="M26">
        <v>376</v>
      </c>
    </row>
    <row r="27" spans="1:13" x14ac:dyDescent="0.25">
      <c r="A27" t="s">
        <v>28</v>
      </c>
      <c r="B27">
        <v>4600</v>
      </c>
      <c r="C27">
        <v>25</v>
      </c>
      <c r="D27">
        <v>21100</v>
      </c>
      <c r="E27">
        <v>379</v>
      </c>
      <c r="F27">
        <v>94500</v>
      </c>
      <c r="G27">
        <v>0</v>
      </c>
      <c r="H27">
        <v>0</v>
      </c>
      <c r="I27">
        <v>0</v>
      </c>
      <c r="J27">
        <v>0</v>
      </c>
      <c r="K27">
        <v>780700</v>
      </c>
      <c r="L27">
        <v>696</v>
      </c>
      <c r="M27">
        <v>108</v>
      </c>
    </row>
    <row r="28" spans="1:13" x14ac:dyDescent="0.25">
      <c r="A28" t="s">
        <v>29</v>
      </c>
      <c r="B28">
        <v>6900</v>
      </c>
      <c r="C28">
        <v>38</v>
      </c>
      <c r="D28">
        <v>32600</v>
      </c>
      <c r="E28">
        <v>289</v>
      </c>
      <c r="F28">
        <v>197100</v>
      </c>
      <c r="G28">
        <v>100</v>
      </c>
      <c r="H28">
        <v>0</v>
      </c>
      <c r="I28">
        <v>0</v>
      </c>
      <c r="J28">
        <v>0</v>
      </c>
      <c r="K28">
        <v>1600400</v>
      </c>
      <c r="L28">
        <v>761</v>
      </c>
      <c r="M28">
        <v>253</v>
      </c>
    </row>
    <row r="29" spans="1:13" x14ac:dyDescent="0.25">
      <c r="A29" t="s">
        <v>30</v>
      </c>
      <c r="B29">
        <v>47400</v>
      </c>
      <c r="C29">
        <v>106</v>
      </c>
      <c r="D29">
        <v>69600</v>
      </c>
      <c r="E29">
        <v>272</v>
      </c>
      <c r="F29">
        <v>125600</v>
      </c>
      <c r="G29">
        <v>200</v>
      </c>
      <c r="H29">
        <v>100</v>
      </c>
      <c r="I29">
        <v>0</v>
      </c>
      <c r="J29">
        <v>0</v>
      </c>
      <c r="K29">
        <v>2169300</v>
      </c>
      <c r="L29">
        <v>858</v>
      </c>
      <c r="M29">
        <v>203</v>
      </c>
    </row>
    <row r="30" spans="1:13" x14ac:dyDescent="0.25">
      <c r="A30" t="s">
        <v>31</v>
      </c>
      <c r="B30">
        <v>9900</v>
      </c>
      <c r="C30">
        <v>66</v>
      </c>
      <c r="D30">
        <v>36800</v>
      </c>
      <c r="E30">
        <v>139</v>
      </c>
      <c r="F30">
        <v>89600</v>
      </c>
      <c r="G30">
        <v>100</v>
      </c>
      <c r="H30">
        <v>0</v>
      </c>
      <c r="I30">
        <v>0</v>
      </c>
      <c r="J30">
        <v>0</v>
      </c>
      <c r="K30">
        <v>1185300</v>
      </c>
      <c r="L30">
        <v>292</v>
      </c>
      <c r="M30">
        <v>123</v>
      </c>
    </row>
    <row r="31" spans="1:13" x14ac:dyDescent="0.25">
      <c r="A31" t="s">
        <v>32</v>
      </c>
      <c r="B31">
        <v>134800</v>
      </c>
      <c r="C31">
        <v>409</v>
      </c>
      <c r="D31">
        <v>174200</v>
      </c>
      <c r="E31">
        <v>278</v>
      </c>
      <c r="F31">
        <v>392100</v>
      </c>
      <c r="G31">
        <v>300</v>
      </c>
      <c r="H31">
        <v>0</v>
      </c>
      <c r="I31">
        <v>0</v>
      </c>
      <c r="J31">
        <v>0</v>
      </c>
      <c r="K31">
        <v>6433000</v>
      </c>
      <c r="L31">
        <v>846</v>
      </c>
      <c r="M31">
        <v>364</v>
      </c>
    </row>
    <row r="32" spans="1:13" x14ac:dyDescent="0.25">
      <c r="A32" t="s">
        <v>33</v>
      </c>
      <c r="B32">
        <v>10300</v>
      </c>
      <c r="C32">
        <v>49</v>
      </c>
      <c r="D32">
        <v>44300</v>
      </c>
      <c r="E32">
        <v>321</v>
      </c>
      <c r="F32">
        <v>151600</v>
      </c>
      <c r="G32">
        <v>100</v>
      </c>
      <c r="H32">
        <v>100</v>
      </c>
      <c r="I32">
        <v>0</v>
      </c>
      <c r="J32">
        <v>0</v>
      </c>
      <c r="K32">
        <v>1597600</v>
      </c>
      <c r="L32">
        <v>885</v>
      </c>
      <c r="M32">
        <v>229</v>
      </c>
    </row>
    <row r="33" spans="1:13" x14ac:dyDescent="0.25">
      <c r="A33" t="s">
        <v>34</v>
      </c>
      <c r="B33">
        <v>131300</v>
      </c>
      <c r="C33">
        <v>923</v>
      </c>
      <c r="D33">
        <v>314000</v>
      </c>
      <c r="E33">
        <v>543</v>
      </c>
      <c r="F33">
        <v>591100</v>
      </c>
      <c r="G33">
        <v>400</v>
      </c>
      <c r="H33">
        <v>100</v>
      </c>
      <c r="I33">
        <v>0</v>
      </c>
      <c r="J33">
        <v>0</v>
      </c>
      <c r="K33">
        <v>9905500</v>
      </c>
      <c r="L33">
        <v>1505</v>
      </c>
      <c r="M33">
        <v>791</v>
      </c>
    </row>
    <row r="34" spans="1:13" x14ac:dyDescent="0.25">
      <c r="A34" t="s">
        <v>35</v>
      </c>
      <c r="B34">
        <v>70200</v>
      </c>
      <c r="C34">
        <v>237</v>
      </c>
      <c r="D34">
        <v>210600</v>
      </c>
      <c r="E34">
        <v>802</v>
      </c>
      <c r="F34">
        <v>655000</v>
      </c>
      <c r="G34">
        <v>300</v>
      </c>
      <c r="H34">
        <v>100</v>
      </c>
      <c r="I34">
        <v>0</v>
      </c>
      <c r="J34">
        <v>0</v>
      </c>
      <c r="K34">
        <v>7764000</v>
      </c>
      <c r="L34">
        <v>2097</v>
      </c>
      <c r="M34">
        <v>717</v>
      </c>
    </row>
    <row r="35" spans="1:13" x14ac:dyDescent="0.25">
      <c r="A35" t="s">
        <v>36</v>
      </c>
      <c r="B35">
        <v>1000</v>
      </c>
      <c r="C35">
        <v>800</v>
      </c>
      <c r="D35">
        <v>8200</v>
      </c>
      <c r="E35">
        <v>204</v>
      </c>
      <c r="F35">
        <v>89900</v>
      </c>
      <c r="G35">
        <v>0</v>
      </c>
      <c r="H35">
        <v>0</v>
      </c>
      <c r="I35">
        <v>0</v>
      </c>
      <c r="J35">
        <v>0</v>
      </c>
      <c r="K35">
        <v>625300</v>
      </c>
      <c r="L35">
        <v>446</v>
      </c>
      <c r="M35">
        <v>72</v>
      </c>
    </row>
    <row r="36" spans="1:13" x14ac:dyDescent="0.25">
      <c r="A36" t="s">
        <v>37</v>
      </c>
      <c r="B36">
        <v>50400</v>
      </c>
      <c r="C36">
        <v>24</v>
      </c>
      <c r="D36">
        <v>199800</v>
      </c>
      <c r="E36">
        <v>703</v>
      </c>
      <c r="F36">
        <v>833500</v>
      </c>
      <c r="G36">
        <v>700</v>
      </c>
      <c r="H36">
        <v>100</v>
      </c>
      <c r="I36">
        <v>0</v>
      </c>
      <c r="J36">
        <v>0</v>
      </c>
      <c r="K36">
        <v>8881400</v>
      </c>
      <c r="L36">
        <v>1962</v>
      </c>
      <c r="M36">
        <v>609</v>
      </c>
    </row>
    <row r="37" spans="1:13" x14ac:dyDescent="0.25">
      <c r="A37" t="s">
        <v>38</v>
      </c>
      <c r="B37">
        <v>22800</v>
      </c>
      <c r="C37">
        <v>33</v>
      </c>
      <c r="D37">
        <v>56400</v>
      </c>
      <c r="E37">
        <v>631</v>
      </c>
      <c r="F37">
        <v>352400</v>
      </c>
      <c r="G37">
        <v>18</v>
      </c>
      <c r="H37">
        <v>200</v>
      </c>
      <c r="I37">
        <v>0</v>
      </c>
      <c r="J37">
        <v>0</v>
      </c>
      <c r="K37">
        <v>3567500</v>
      </c>
      <c r="L37">
        <v>1457</v>
      </c>
      <c r="M37">
        <v>45</v>
      </c>
    </row>
    <row r="38" spans="1:13" x14ac:dyDescent="0.25">
      <c r="A38" t="s">
        <v>39</v>
      </c>
      <c r="B38">
        <v>64400</v>
      </c>
      <c r="C38">
        <v>288</v>
      </c>
      <c r="D38">
        <v>156900</v>
      </c>
      <c r="E38">
        <v>555</v>
      </c>
      <c r="F38">
        <v>184600</v>
      </c>
      <c r="G38">
        <v>100</v>
      </c>
      <c r="H38">
        <v>100</v>
      </c>
      <c r="I38">
        <v>0</v>
      </c>
      <c r="J38">
        <v>0</v>
      </c>
      <c r="K38">
        <v>3074300</v>
      </c>
      <c r="L38">
        <v>217</v>
      </c>
      <c r="M38">
        <v>51</v>
      </c>
    </row>
    <row r="39" spans="1:13" x14ac:dyDescent="0.25">
      <c r="A39" t="s">
        <v>40</v>
      </c>
      <c r="B39">
        <v>70200</v>
      </c>
      <c r="C39">
        <v>389</v>
      </c>
      <c r="D39">
        <v>245400</v>
      </c>
      <c r="E39">
        <v>739</v>
      </c>
      <c r="F39">
        <v>661700</v>
      </c>
      <c r="G39">
        <v>500</v>
      </c>
      <c r="H39">
        <v>100</v>
      </c>
      <c r="I39">
        <v>0</v>
      </c>
      <c r="J39">
        <v>0</v>
      </c>
      <c r="K39">
        <v>8886400</v>
      </c>
      <c r="L39">
        <v>1921</v>
      </c>
      <c r="M39">
        <v>418</v>
      </c>
    </row>
    <row r="40" spans="1:13" x14ac:dyDescent="0.25">
      <c r="A40" t="s">
        <v>41</v>
      </c>
      <c r="B40">
        <v>6400</v>
      </c>
      <c r="C40">
        <v>51</v>
      </c>
      <c r="D40">
        <v>22100</v>
      </c>
      <c r="E40">
        <v>31</v>
      </c>
      <c r="F40">
        <v>41900</v>
      </c>
      <c r="G40">
        <v>0</v>
      </c>
      <c r="H40">
        <v>0</v>
      </c>
      <c r="I40">
        <v>0</v>
      </c>
      <c r="J40">
        <v>0</v>
      </c>
      <c r="K40">
        <v>782000</v>
      </c>
      <c r="L40">
        <v>11</v>
      </c>
      <c r="M40">
        <v>6</v>
      </c>
    </row>
    <row r="41" spans="1:13" x14ac:dyDescent="0.25">
      <c r="A41" t="s">
        <v>42</v>
      </c>
      <c r="B41">
        <v>20900</v>
      </c>
      <c r="C41">
        <v>9</v>
      </c>
      <c r="D41">
        <v>83100</v>
      </c>
      <c r="E41">
        <v>446</v>
      </c>
      <c r="F41">
        <v>404600</v>
      </c>
      <c r="G41">
        <v>100</v>
      </c>
      <c r="H41">
        <v>100</v>
      </c>
      <c r="I41">
        <v>0</v>
      </c>
      <c r="J41">
        <v>0</v>
      </c>
      <c r="K41">
        <v>4325000</v>
      </c>
      <c r="L41">
        <v>1101</v>
      </c>
      <c r="M41">
        <v>449</v>
      </c>
    </row>
    <row r="42" spans="1:13" x14ac:dyDescent="0.25">
      <c r="A42" t="s">
        <v>43</v>
      </c>
      <c r="B42">
        <v>1700</v>
      </c>
      <c r="C42">
        <v>13</v>
      </c>
      <c r="D42">
        <v>11900</v>
      </c>
      <c r="E42">
        <v>215</v>
      </c>
      <c r="F42">
        <v>98800</v>
      </c>
      <c r="G42">
        <v>0</v>
      </c>
      <c r="H42">
        <v>0</v>
      </c>
      <c r="I42">
        <v>0</v>
      </c>
      <c r="J42">
        <v>0</v>
      </c>
      <c r="K42">
        <v>718300</v>
      </c>
      <c r="L42">
        <v>512</v>
      </c>
      <c r="M42">
        <v>133</v>
      </c>
    </row>
    <row r="43" spans="1:13" x14ac:dyDescent="0.25">
      <c r="A43" t="s">
        <v>44</v>
      </c>
      <c r="B43">
        <v>33200</v>
      </c>
      <c r="C43">
        <v>11</v>
      </c>
      <c r="D43">
        <v>113300</v>
      </c>
      <c r="E43">
        <v>531</v>
      </c>
      <c r="F43">
        <v>509000</v>
      </c>
      <c r="G43">
        <v>200</v>
      </c>
      <c r="H43">
        <v>100</v>
      </c>
      <c r="I43">
        <v>0</v>
      </c>
      <c r="J43">
        <v>0</v>
      </c>
      <c r="K43">
        <v>5620500</v>
      </c>
      <c r="L43">
        <v>1607</v>
      </c>
      <c r="M43">
        <v>377</v>
      </c>
    </row>
    <row r="44" spans="1:13" x14ac:dyDescent="0.25">
      <c r="A44" t="s">
        <v>45</v>
      </c>
      <c r="B44">
        <v>230100</v>
      </c>
      <c r="C44">
        <v>553</v>
      </c>
      <c r="D44">
        <v>445100</v>
      </c>
      <c r="E44">
        <v>4607</v>
      </c>
      <c r="F44">
        <v>2315400</v>
      </c>
      <c r="G44">
        <v>13</v>
      </c>
      <c r="H44">
        <v>13</v>
      </c>
      <c r="I44">
        <v>0</v>
      </c>
      <c r="J44">
        <v>0</v>
      </c>
      <c r="K44">
        <v>21392800</v>
      </c>
      <c r="L44">
        <v>7728</v>
      </c>
      <c r="M44">
        <v>1218</v>
      </c>
    </row>
    <row r="45" spans="1:13" x14ac:dyDescent="0.25">
      <c r="A45" t="s">
        <v>46</v>
      </c>
      <c r="B45">
        <v>40000</v>
      </c>
      <c r="C45">
        <v>13</v>
      </c>
      <c r="D45">
        <v>83200</v>
      </c>
      <c r="E45">
        <v>685</v>
      </c>
      <c r="F45">
        <v>185200</v>
      </c>
      <c r="G45">
        <v>22</v>
      </c>
      <c r="H45">
        <v>500</v>
      </c>
      <c r="I45">
        <v>0</v>
      </c>
      <c r="J45">
        <v>0</v>
      </c>
      <c r="K45">
        <v>2499600</v>
      </c>
      <c r="L45">
        <v>158</v>
      </c>
      <c r="M45">
        <v>26</v>
      </c>
    </row>
    <row r="46" spans="1:13" x14ac:dyDescent="0.25">
      <c r="A46" t="s">
        <v>47</v>
      </c>
      <c r="B46">
        <v>7800</v>
      </c>
      <c r="C46">
        <v>57</v>
      </c>
      <c r="D46">
        <v>20300</v>
      </c>
      <c r="E46">
        <v>7</v>
      </c>
      <c r="F46">
        <v>36600</v>
      </c>
      <c r="G46">
        <v>0</v>
      </c>
      <c r="H46">
        <v>0</v>
      </c>
      <c r="I46">
        <v>0</v>
      </c>
      <c r="J46">
        <v>0</v>
      </c>
      <c r="K46">
        <v>496000</v>
      </c>
      <c r="L46">
        <v>147</v>
      </c>
      <c r="M46">
        <v>5</v>
      </c>
    </row>
    <row r="47" spans="1:13" x14ac:dyDescent="0.25">
      <c r="A47" t="s">
        <v>48</v>
      </c>
      <c r="B47">
        <v>84900</v>
      </c>
      <c r="C47">
        <v>268</v>
      </c>
      <c r="D47">
        <v>229400</v>
      </c>
      <c r="E47">
        <v>443</v>
      </c>
      <c r="F47">
        <v>484800</v>
      </c>
      <c r="G47">
        <v>300</v>
      </c>
      <c r="H47">
        <v>0</v>
      </c>
      <c r="I47">
        <v>0</v>
      </c>
      <c r="J47">
        <v>0</v>
      </c>
      <c r="K47">
        <v>6670000</v>
      </c>
      <c r="L47">
        <v>1528</v>
      </c>
      <c r="M47">
        <v>302</v>
      </c>
    </row>
    <row r="48" spans="1:13" x14ac:dyDescent="0.25">
      <c r="A48" t="s">
        <v>49</v>
      </c>
      <c r="B48">
        <v>152100</v>
      </c>
      <c r="C48">
        <v>412</v>
      </c>
      <c r="D48">
        <v>307200</v>
      </c>
      <c r="E48">
        <v>738</v>
      </c>
      <c r="F48">
        <v>337700</v>
      </c>
      <c r="G48">
        <v>100</v>
      </c>
      <c r="H48">
        <v>100</v>
      </c>
      <c r="I48">
        <v>0</v>
      </c>
      <c r="J48">
        <v>0</v>
      </c>
      <c r="K48">
        <v>5583000</v>
      </c>
      <c r="L48">
        <v>2742</v>
      </c>
      <c r="M48">
        <v>467</v>
      </c>
    </row>
    <row r="49" spans="1:13" x14ac:dyDescent="0.25">
      <c r="A49" t="s">
        <v>50</v>
      </c>
      <c r="B49">
        <v>2800</v>
      </c>
      <c r="C49">
        <v>18</v>
      </c>
      <c r="D49">
        <v>22400</v>
      </c>
      <c r="E49">
        <v>173</v>
      </c>
      <c r="F49">
        <v>123400</v>
      </c>
      <c r="G49">
        <v>100</v>
      </c>
      <c r="H49">
        <v>0</v>
      </c>
      <c r="I49">
        <v>0</v>
      </c>
      <c r="J49">
        <v>0</v>
      </c>
      <c r="K49">
        <v>1281500</v>
      </c>
      <c r="L49">
        <v>464</v>
      </c>
      <c r="M49">
        <v>152</v>
      </c>
    </row>
    <row r="50" spans="1:13" x14ac:dyDescent="0.25">
      <c r="A50" t="s">
        <v>51</v>
      </c>
      <c r="B50">
        <v>24900</v>
      </c>
      <c r="C50">
        <v>125</v>
      </c>
      <c r="D50">
        <v>123600</v>
      </c>
      <c r="E50">
        <v>529</v>
      </c>
      <c r="F50">
        <v>536200</v>
      </c>
      <c r="G50">
        <v>300</v>
      </c>
      <c r="H50">
        <v>0</v>
      </c>
      <c r="I50">
        <v>0</v>
      </c>
      <c r="J50">
        <v>0</v>
      </c>
      <c r="K50">
        <v>4604700</v>
      </c>
      <c r="L50">
        <v>1475</v>
      </c>
      <c r="M50">
        <v>264</v>
      </c>
    </row>
    <row r="51" spans="1:13" x14ac:dyDescent="0.25">
      <c r="A51" t="s">
        <v>52</v>
      </c>
      <c r="B51">
        <v>1100</v>
      </c>
      <c r="C51">
        <v>800</v>
      </c>
      <c r="D51">
        <v>8400</v>
      </c>
      <c r="E51">
        <v>212</v>
      </c>
      <c r="F51">
        <v>57700</v>
      </c>
      <c r="G51">
        <v>0</v>
      </c>
      <c r="H51">
        <v>0</v>
      </c>
      <c r="I51">
        <v>0</v>
      </c>
      <c r="J51">
        <v>0</v>
      </c>
      <c r="K51">
        <v>489100</v>
      </c>
      <c r="L51">
        <v>609</v>
      </c>
      <c r="M51">
        <v>137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08441-06DA-4324-9935-B102AF034496}">
  <dimension ref="A1:H52"/>
  <sheetViews>
    <sheetView topLeftCell="A2" workbookViewId="0">
      <selection activeCell="H52" sqref="H52"/>
    </sheetView>
  </sheetViews>
  <sheetFormatPr defaultRowHeight="15" x14ac:dyDescent="0.25"/>
  <cols>
    <col min="1" max="1" width="15.28515625" bestFit="1" customWidth="1"/>
    <col min="2" max="2" width="13.85546875" bestFit="1" customWidth="1"/>
    <col min="3" max="3" width="29.85546875" bestFit="1" customWidth="1"/>
    <col min="4" max="4" width="21.7109375" bestFit="1" customWidth="1"/>
    <col min="5" max="5" width="20.42578125" customWidth="1"/>
    <col min="6" max="6" width="27.42578125" customWidth="1"/>
    <col min="7" max="11" width="20.42578125" customWidth="1"/>
  </cols>
  <sheetData>
    <row r="1" spans="1:8" x14ac:dyDescent="0.25">
      <c r="A1" t="s">
        <v>0</v>
      </c>
      <c r="B1" t="s">
        <v>1</v>
      </c>
      <c r="C1" t="s">
        <v>57</v>
      </c>
      <c r="D1" t="s">
        <v>58</v>
      </c>
      <c r="E1" t="s">
        <v>54</v>
      </c>
      <c r="F1" t="s">
        <v>55</v>
      </c>
      <c r="G1" t="s">
        <v>2</v>
      </c>
      <c r="H1" t="s">
        <v>67</v>
      </c>
    </row>
    <row r="2" spans="1:8" x14ac:dyDescent="0.25">
      <c r="A2" t="s">
        <v>3</v>
      </c>
      <c r="B2" s="4">
        <v>13000</v>
      </c>
      <c r="C2" s="4">
        <v>58</v>
      </c>
      <c r="D2" s="4">
        <v>63300</v>
      </c>
      <c r="E2" s="4">
        <v>441942</v>
      </c>
      <c r="F2" s="4">
        <v>4102327</v>
      </c>
      <c r="G2" s="4">
        <v>29</v>
      </c>
      <c r="H2" s="4">
        <f>SUM(Vehicule_data_cleaned[[#This Row],[Electric (EV)]:[Unknown Fuel]])</f>
        <v>4620656</v>
      </c>
    </row>
    <row r="3" spans="1:8" x14ac:dyDescent="0.25">
      <c r="A3" t="s">
        <v>4</v>
      </c>
      <c r="B3" s="4">
        <v>2700</v>
      </c>
      <c r="C3" s="4">
        <v>900</v>
      </c>
      <c r="D3" s="4">
        <v>10600</v>
      </c>
      <c r="E3" s="4">
        <v>46896</v>
      </c>
      <c r="F3" s="4">
        <v>454598</v>
      </c>
      <c r="G3" s="4">
        <v>51</v>
      </c>
      <c r="H3" s="4">
        <f>SUM(Vehicule_data_cleaned[[#This Row],[Electric (EV)]:[Unknown Fuel]])</f>
        <v>515745</v>
      </c>
    </row>
    <row r="4" spans="1:8" x14ac:dyDescent="0.25">
      <c r="A4" t="s">
        <v>5</v>
      </c>
      <c r="B4" s="4">
        <v>89800</v>
      </c>
      <c r="C4" s="4">
        <v>256</v>
      </c>
      <c r="D4" s="4">
        <v>175700</v>
      </c>
      <c r="E4" s="4">
        <v>439086</v>
      </c>
      <c r="F4" s="4">
        <v>5470977</v>
      </c>
      <c r="G4" s="4">
        <v>642</v>
      </c>
      <c r="H4" s="4">
        <f>SUM(Vehicule_data_cleaned[[#This Row],[Electric (EV)]:[Unknown Fuel]])</f>
        <v>6176461</v>
      </c>
    </row>
    <row r="5" spans="1:8" x14ac:dyDescent="0.25">
      <c r="A5" t="s">
        <v>6</v>
      </c>
      <c r="B5" s="4">
        <v>7100</v>
      </c>
      <c r="C5" s="4">
        <v>32</v>
      </c>
      <c r="D5" s="4">
        <v>37000</v>
      </c>
      <c r="E5" s="4">
        <v>276937</v>
      </c>
      <c r="F5" s="4">
        <v>2247007</v>
      </c>
      <c r="G5" s="4">
        <v>103</v>
      </c>
      <c r="H5" s="4">
        <f>SUM(Vehicule_data_cleaned[[#This Row],[Electric (EV)]:[Unknown Fuel]])</f>
        <v>2568179</v>
      </c>
    </row>
    <row r="6" spans="1:8" x14ac:dyDescent="0.25">
      <c r="A6" t="s">
        <v>7</v>
      </c>
      <c r="B6" s="4">
        <v>1256600</v>
      </c>
      <c r="C6" s="4">
        <v>4107</v>
      </c>
      <c r="D6" s="4">
        <v>1703200</v>
      </c>
      <c r="E6" s="4">
        <v>1316901</v>
      </c>
      <c r="F6" s="4">
        <v>31199253</v>
      </c>
      <c r="G6" s="4">
        <v>79</v>
      </c>
      <c r="H6" s="4">
        <f>SUM(Vehicule_data_cleaned[[#This Row],[Electric (EV)]:[Unknown Fuel]])</f>
        <v>35480140</v>
      </c>
    </row>
    <row r="7" spans="1:8" x14ac:dyDescent="0.25">
      <c r="A7" t="s">
        <v>8</v>
      </c>
      <c r="B7" s="4">
        <v>90100</v>
      </c>
      <c r="C7" s="4">
        <v>375</v>
      </c>
      <c r="D7" s="4">
        <v>152700</v>
      </c>
      <c r="E7" s="4">
        <v>335381</v>
      </c>
      <c r="F7" s="4">
        <v>4510834</v>
      </c>
      <c r="G7" s="4">
        <v>465</v>
      </c>
      <c r="H7" s="4">
        <f>SUM(Vehicule_data_cleaned[[#This Row],[Electric (EV)]:[Unknown Fuel]])</f>
        <v>5089855</v>
      </c>
    </row>
    <row r="8" spans="1:8" x14ac:dyDescent="0.25">
      <c r="A8" t="s">
        <v>9</v>
      </c>
      <c r="B8" s="4">
        <v>31600</v>
      </c>
      <c r="C8" s="4">
        <v>184</v>
      </c>
      <c r="D8" s="4">
        <v>75300</v>
      </c>
      <c r="E8" s="4">
        <v>133809</v>
      </c>
      <c r="F8" s="4">
        <v>2613023</v>
      </c>
      <c r="G8" s="4">
        <v>209</v>
      </c>
      <c r="H8" s="4">
        <f>SUM(Vehicule_data_cleaned[[#This Row],[Electric (EV)]:[Unknown Fuel]])</f>
        <v>2854125</v>
      </c>
    </row>
    <row r="9" spans="1:8" x14ac:dyDescent="0.25">
      <c r="A9" t="s">
        <v>10</v>
      </c>
      <c r="B9" s="4">
        <v>8400</v>
      </c>
      <c r="C9" s="4">
        <v>38</v>
      </c>
      <c r="D9" s="4">
        <v>22900</v>
      </c>
      <c r="E9" s="4">
        <v>63951</v>
      </c>
      <c r="F9" s="4">
        <v>791442</v>
      </c>
      <c r="G9" s="4">
        <v>51</v>
      </c>
      <c r="H9" s="4">
        <f>SUM(Vehicule_data_cleaned[[#This Row],[Electric (EV)]:[Unknown Fuel]])</f>
        <v>886782</v>
      </c>
    </row>
    <row r="10" spans="1:8" x14ac:dyDescent="0.25">
      <c r="A10" t="s">
        <v>11</v>
      </c>
      <c r="B10" s="4">
        <v>254900</v>
      </c>
      <c r="C10" s="4">
        <v>573</v>
      </c>
      <c r="D10" s="4">
        <v>414500</v>
      </c>
      <c r="E10" s="4">
        <v>1103305</v>
      </c>
      <c r="F10" s="4">
        <v>16140018</v>
      </c>
      <c r="G10" s="4">
        <v>961</v>
      </c>
      <c r="H10" s="4">
        <f>SUM(Vehicule_data_cleaned[[#This Row],[Electric (EV)]:[Unknown Fuel]])</f>
        <v>17914257</v>
      </c>
    </row>
    <row r="11" spans="1:8" x14ac:dyDescent="0.25">
      <c r="A11" t="s">
        <v>12</v>
      </c>
      <c r="B11" s="4">
        <v>92400</v>
      </c>
      <c r="C11" s="4">
        <v>227</v>
      </c>
      <c r="D11" s="4">
        <v>175300</v>
      </c>
      <c r="E11" s="4">
        <v>720825</v>
      </c>
      <c r="F11" s="4">
        <v>8258463</v>
      </c>
      <c r="G11" s="4">
        <v>769</v>
      </c>
      <c r="H11" s="4">
        <f>SUM(Vehicule_data_cleaned[[#This Row],[Electric (EV)]:[Unknown Fuel]])</f>
        <v>9247984</v>
      </c>
    </row>
    <row r="12" spans="1:8" x14ac:dyDescent="0.25">
      <c r="A12" t="s">
        <v>13</v>
      </c>
      <c r="B12" s="4">
        <v>25600</v>
      </c>
      <c r="C12" s="4">
        <v>73</v>
      </c>
      <c r="D12" s="4">
        <v>36400</v>
      </c>
      <c r="E12" s="4">
        <v>37334</v>
      </c>
      <c r="F12" s="4">
        <v>951154</v>
      </c>
      <c r="G12" s="4">
        <v>37</v>
      </c>
      <c r="H12" s="4">
        <f>SUM(Vehicule_data_cleaned[[#This Row],[Electric (EV)]:[Unknown Fuel]])</f>
        <v>1050598</v>
      </c>
    </row>
    <row r="13" spans="1:8" x14ac:dyDescent="0.25">
      <c r="A13" t="s">
        <v>14</v>
      </c>
      <c r="B13" s="4">
        <v>8500</v>
      </c>
      <c r="C13" s="4">
        <v>46</v>
      </c>
      <c r="D13" s="4">
        <v>43700</v>
      </c>
      <c r="E13" s="4">
        <v>133559</v>
      </c>
      <c r="F13" s="4">
        <v>1569986</v>
      </c>
      <c r="G13" s="4">
        <v>316</v>
      </c>
      <c r="H13" s="4">
        <f>SUM(Vehicule_data_cleaned[[#This Row],[Electric (EV)]:[Unknown Fuel]])</f>
        <v>1756107</v>
      </c>
    </row>
    <row r="14" spans="1:8" x14ac:dyDescent="0.25">
      <c r="A14" t="s">
        <v>15</v>
      </c>
      <c r="B14" s="4">
        <v>99600</v>
      </c>
      <c r="C14" s="4">
        <v>334</v>
      </c>
      <c r="D14" s="4">
        <v>285400</v>
      </c>
      <c r="E14" s="4">
        <v>773815</v>
      </c>
      <c r="F14" s="4">
        <v>8562002</v>
      </c>
      <c r="G14" s="4">
        <v>596</v>
      </c>
      <c r="H14" s="4">
        <f>SUM(Vehicule_data_cleaned[[#This Row],[Electric (EV)]:[Unknown Fuel]])</f>
        <v>9721747</v>
      </c>
    </row>
    <row r="15" spans="1:8" x14ac:dyDescent="0.25">
      <c r="A15" t="s">
        <v>16</v>
      </c>
      <c r="B15" s="4">
        <v>26100</v>
      </c>
      <c r="C15" s="4">
        <v>129</v>
      </c>
      <c r="D15" s="4">
        <v>119100</v>
      </c>
      <c r="E15" s="4">
        <v>577163</v>
      </c>
      <c r="F15" s="4">
        <v>5167764</v>
      </c>
      <c r="G15" s="4">
        <v>585</v>
      </c>
      <c r="H15" s="4">
        <f>SUM(Vehicule_data_cleaned[[#This Row],[Electric (EV)]:[Unknown Fuel]])</f>
        <v>5890841</v>
      </c>
    </row>
    <row r="16" spans="1:8" x14ac:dyDescent="0.25">
      <c r="A16" t="s">
        <v>17</v>
      </c>
      <c r="B16" s="4">
        <v>9000</v>
      </c>
      <c r="C16" s="4">
        <v>61</v>
      </c>
      <c r="D16" s="4">
        <v>57200</v>
      </c>
      <c r="E16" s="4">
        <v>331817</v>
      </c>
      <c r="F16" s="4">
        <v>2545505</v>
      </c>
      <c r="G16" s="4">
        <v>575</v>
      </c>
      <c r="H16" s="4">
        <f>SUM(Vehicule_data_cleaned[[#This Row],[Electric (EV)]:[Unknown Fuel]])</f>
        <v>2944158</v>
      </c>
    </row>
    <row r="17" spans="1:8" x14ac:dyDescent="0.25">
      <c r="A17" t="s">
        <v>18</v>
      </c>
      <c r="B17" s="4">
        <v>11300</v>
      </c>
      <c r="C17" s="4">
        <v>56</v>
      </c>
      <c r="D17" s="4">
        <v>50400</v>
      </c>
      <c r="E17" s="4">
        <v>254079</v>
      </c>
      <c r="F17" s="4">
        <v>2169474</v>
      </c>
      <c r="G17" s="4">
        <v>161</v>
      </c>
      <c r="H17" s="4">
        <f>SUM(Vehicule_data_cleaned[[#This Row],[Electric (EV)]:[Unknown Fuel]])</f>
        <v>2485470</v>
      </c>
    </row>
    <row r="18" spans="1:8" x14ac:dyDescent="0.25">
      <c r="A18" t="s">
        <v>19</v>
      </c>
      <c r="B18" s="4">
        <v>11600</v>
      </c>
      <c r="C18" s="4">
        <v>56</v>
      </c>
      <c r="D18" s="4">
        <v>67100</v>
      </c>
      <c r="E18" s="4">
        <v>361869</v>
      </c>
      <c r="F18" s="4">
        <v>3416176</v>
      </c>
      <c r="G18" s="4">
        <v>244</v>
      </c>
      <c r="H18" s="4">
        <f>SUM(Vehicule_data_cleaned[[#This Row],[Electric (EV)]:[Unknown Fuel]])</f>
        <v>3857045</v>
      </c>
    </row>
    <row r="19" spans="1:8" x14ac:dyDescent="0.25">
      <c r="A19" t="s">
        <v>20</v>
      </c>
      <c r="B19" s="4">
        <v>8200</v>
      </c>
      <c r="C19" s="4">
        <v>4</v>
      </c>
      <c r="D19" s="4">
        <v>40200</v>
      </c>
      <c r="E19" s="4">
        <v>380842</v>
      </c>
      <c r="F19" s="4">
        <v>3143955</v>
      </c>
      <c r="G19" s="4">
        <v>191</v>
      </c>
      <c r="H19" s="4">
        <f>SUM(Vehicule_data_cleaned[[#This Row],[Electric (EV)]:[Unknown Fuel]])</f>
        <v>3573392</v>
      </c>
    </row>
    <row r="20" spans="1:8" x14ac:dyDescent="0.25">
      <c r="A20" t="s">
        <v>21</v>
      </c>
      <c r="B20" s="4">
        <v>7400</v>
      </c>
      <c r="C20" s="4">
        <v>76</v>
      </c>
      <c r="D20" s="4">
        <v>33600</v>
      </c>
      <c r="E20" s="4">
        <v>104512</v>
      </c>
      <c r="F20" s="4">
        <v>1036369</v>
      </c>
      <c r="G20" s="4">
        <v>79</v>
      </c>
      <c r="H20" s="4">
        <f>SUM(Vehicule_data_cleaned[[#This Row],[Electric (EV)]:[Unknown Fuel]])</f>
        <v>1182036</v>
      </c>
    </row>
    <row r="21" spans="1:8" x14ac:dyDescent="0.25">
      <c r="A21" t="s">
        <v>22</v>
      </c>
      <c r="B21" s="4">
        <v>72100</v>
      </c>
      <c r="C21" s="4">
        <v>313</v>
      </c>
      <c r="D21" s="4">
        <v>168700</v>
      </c>
      <c r="E21" s="4">
        <v>309921</v>
      </c>
      <c r="F21" s="4">
        <v>4328669</v>
      </c>
      <c r="G21" s="4">
        <v>315</v>
      </c>
      <c r="H21" s="4">
        <f>SUM(Vehicule_data_cleaned[[#This Row],[Electric (EV)]:[Unknown Fuel]])</f>
        <v>4880018</v>
      </c>
    </row>
    <row r="22" spans="1:8" x14ac:dyDescent="0.25">
      <c r="A22" t="s">
        <v>23</v>
      </c>
      <c r="B22" s="4">
        <v>73800</v>
      </c>
      <c r="C22" s="4">
        <v>438</v>
      </c>
      <c r="D22" s="4">
        <v>187300</v>
      </c>
      <c r="E22" s="4">
        <v>285413</v>
      </c>
      <c r="F22" s="4">
        <v>4791884</v>
      </c>
      <c r="G22" s="4">
        <v>30</v>
      </c>
      <c r="H22" s="4">
        <f>SUM(Vehicule_data_cleaned[[#This Row],[Electric (EV)]:[Unknown Fuel]])</f>
        <v>5338865</v>
      </c>
    </row>
    <row r="23" spans="1:8" x14ac:dyDescent="0.25">
      <c r="A23" t="s">
        <v>24</v>
      </c>
      <c r="B23" s="4">
        <v>50300</v>
      </c>
      <c r="C23" s="4">
        <v>291</v>
      </c>
      <c r="D23" s="4">
        <v>148100</v>
      </c>
      <c r="E23" s="4">
        <v>874704</v>
      </c>
      <c r="F23" s="4">
        <v>7131345</v>
      </c>
      <c r="G23" s="4">
        <v>494</v>
      </c>
      <c r="H23" s="4">
        <f>SUM(Vehicule_data_cleaned[[#This Row],[Electric (EV)]:[Unknown Fuel]])</f>
        <v>8205234</v>
      </c>
    </row>
    <row r="24" spans="1:8" x14ac:dyDescent="0.25">
      <c r="A24" t="s">
        <v>25</v>
      </c>
      <c r="B24" s="4">
        <v>37100</v>
      </c>
      <c r="C24" s="4">
        <v>161</v>
      </c>
      <c r="D24" s="4">
        <v>124500</v>
      </c>
      <c r="E24" s="4">
        <v>517027</v>
      </c>
      <c r="F24" s="4">
        <v>4220479</v>
      </c>
      <c r="G24" s="4">
        <v>245</v>
      </c>
      <c r="H24" s="4">
        <f>SUM(Vehicule_data_cleaned[[#This Row],[Electric (EV)]:[Unknown Fuel]])</f>
        <v>4899512</v>
      </c>
    </row>
    <row r="25" spans="1:8" x14ac:dyDescent="0.25">
      <c r="A25" t="s">
        <v>26</v>
      </c>
      <c r="B25" s="4">
        <v>3600</v>
      </c>
      <c r="C25" s="4">
        <v>2</v>
      </c>
      <c r="D25" s="4">
        <v>28200</v>
      </c>
      <c r="E25" s="4">
        <v>295649</v>
      </c>
      <c r="F25" s="4">
        <v>2276352</v>
      </c>
      <c r="G25" s="4">
        <v>85</v>
      </c>
      <c r="H25" s="4">
        <f>SUM(Vehicule_data_cleaned[[#This Row],[Electric (EV)]:[Unknown Fuel]])</f>
        <v>2603888</v>
      </c>
    </row>
    <row r="26" spans="1:8" x14ac:dyDescent="0.25">
      <c r="A26" t="s">
        <v>27</v>
      </c>
      <c r="B26" s="4">
        <v>26900</v>
      </c>
      <c r="C26" s="4">
        <v>139</v>
      </c>
      <c r="D26" s="4">
        <v>113900</v>
      </c>
      <c r="E26" s="4">
        <v>577204</v>
      </c>
      <c r="F26" s="4">
        <v>4610382</v>
      </c>
      <c r="G26" s="4">
        <v>376</v>
      </c>
      <c r="H26" s="4">
        <f>SUM(Vehicule_data_cleaned[[#This Row],[Electric (EV)]:[Unknown Fuel]])</f>
        <v>5328901</v>
      </c>
    </row>
    <row r="27" spans="1:8" x14ac:dyDescent="0.25">
      <c r="A27" t="s">
        <v>28</v>
      </c>
      <c r="B27" s="4">
        <v>4600</v>
      </c>
      <c r="C27" s="4">
        <v>25</v>
      </c>
      <c r="D27" s="4">
        <v>21100</v>
      </c>
      <c r="E27" s="4">
        <v>94879</v>
      </c>
      <c r="F27" s="4">
        <v>781396</v>
      </c>
      <c r="G27" s="4">
        <v>108</v>
      </c>
      <c r="H27" s="4">
        <f>SUM(Vehicule_data_cleaned[[#This Row],[Electric (EV)]:[Unknown Fuel]])</f>
        <v>902108</v>
      </c>
    </row>
    <row r="28" spans="1:8" x14ac:dyDescent="0.25">
      <c r="A28" t="s">
        <v>29</v>
      </c>
      <c r="B28" s="4">
        <v>6900</v>
      </c>
      <c r="C28" s="4">
        <v>38</v>
      </c>
      <c r="D28" s="4">
        <v>32600</v>
      </c>
      <c r="E28" s="4">
        <v>197489</v>
      </c>
      <c r="F28" s="4">
        <v>1601161</v>
      </c>
      <c r="G28" s="4">
        <v>253</v>
      </c>
      <c r="H28" s="4">
        <f>SUM(Vehicule_data_cleaned[[#This Row],[Electric (EV)]:[Unknown Fuel]])</f>
        <v>1838441</v>
      </c>
    </row>
    <row r="29" spans="1:8" x14ac:dyDescent="0.25">
      <c r="A29" t="s">
        <v>30</v>
      </c>
      <c r="B29" s="4">
        <v>47400</v>
      </c>
      <c r="C29" s="4">
        <v>106</v>
      </c>
      <c r="D29" s="4">
        <v>69600</v>
      </c>
      <c r="E29" s="4">
        <v>126172</v>
      </c>
      <c r="F29" s="4">
        <v>2170158</v>
      </c>
      <c r="G29" s="4">
        <v>203</v>
      </c>
      <c r="H29" s="4">
        <f>SUM(Vehicule_data_cleaned[[#This Row],[Electric (EV)]:[Unknown Fuel]])</f>
        <v>2413639</v>
      </c>
    </row>
    <row r="30" spans="1:8" x14ac:dyDescent="0.25">
      <c r="A30" t="s">
        <v>31</v>
      </c>
      <c r="B30" s="4">
        <v>9900</v>
      </c>
      <c r="C30" s="4">
        <v>66</v>
      </c>
      <c r="D30" s="4">
        <v>36800</v>
      </c>
      <c r="E30" s="4">
        <v>89839</v>
      </c>
      <c r="F30" s="4">
        <v>1185592</v>
      </c>
      <c r="G30" s="4">
        <v>123</v>
      </c>
      <c r="H30" s="4">
        <f>SUM(Vehicule_data_cleaned[[#This Row],[Electric (EV)]:[Unknown Fuel]])</f>
        <v>1322320</v>
      </c>
    </row>
    <row r="31" spans="1:8" x14ac:dyDescent="0.25">
      <c r="A31" t="s">
        <v>32</v>
      </c>
      <c r="B31" s="4">
        <v>134800</v>
      </c>
      <c r="C31" s="4">
        <v>409</v>
      </c>
      <c r="D31" s="4">
        <v>174200</v>
      </c>
      <c r="E31" s="4">
        <v>392678</v>
      </c>
      <c r="F31" s="4">
        <v>6433846</v>
      </c>
      <c r="G31" s="4">
        <v>364</v>
      </c>
      <c r="H31" s="4">
        <f>SUM(Vehicule_data_cleaned[[#This Row],[Electric (EV)]:[Unknown Fuel]])</f>
        <v>7136297</v>
      </c>
    </row>
    <row r="32" spans="1:8" x14ac:dyDescent="0.25">
      <c r="A32" t="s">
        <v>33</v>
      </c>
      <c r="B32" s="4">
        <v>10300</v>
      </c>
      <c r="C32" s="4">
        <v>49</v>
      </c>
      <c r="D32" s="4">
        <v>44300</v>
      </c>
      <c r="E32" s="4">
        <v>152121</v>
      </c>
      <c r="F32" s="4">
        <v>1598485</v>
      </c>
      <c r="G32" s="4">
        <v>229</v>
      </c>
      <c r="H32" s="4">
        <f>SUM(Vehicule_data_cleaned[[#This Row],[Electric (EV)]:[Unknown Fuel]])</f>
        <v>1805484</v>
      </c>
    </row>
    <row r="33" spans="1:8" x14ac:dyDescent="0.25">
      <c r="A33" t="s">
        <v>34</v>
      </c>
      <c r="B33" s="4">
        <v>131300</v>
      </c>
      <c r="C33" s="4">
        <v>923</v>
      </c>
      <c r="D33" s="4">
        <v>314000</v>
      </c>
      <c r="E33" s="4">
        <v>592143</v>
      </c>
      <c r="F33" s="4">
        <v>9907005</v>
      </c>
      <c r="G33" s="4">
        <v>791</v>
      </c>
      <c r="H33" s="4">
        <f>SUM(Vehicule_data_cleaned[[#This Row],[Electric (EV)]:[Unknown Fuel]])</f>
        <v>10946162</v>
      </c>
    </row>
    <row r="34" spans="1:8" x14ac:dyDescent="0.25">
      <c r="A34" t="s">
        <v>35</v>
      </c>
      <c r="B34" s="4">
        <v>70200</v>
      </c>
      <c r="C34" s="4">
        <v>237</v>
      </c>
      <c r="D34" s="4">
        <v>210600</v>
      </c>
      <c r="E34" s="4">
        <v>656202</v>
      </c>
      <c r="F34" s="4">
        <v>7766097</v>
      </c>
      <c r="G34" s="4">
        <v>717</v>
      </c>
      <c r="H34" s="4">
        <f>SUM(Vehicule_data_cleaned[[#This Row],[Electric (EV)]:[Unknown Fuel]])</f>
        <v>8704053</v>
      </c>
    </row>
    <row r="35" spans="1:8" x14ac:dyDescent="0.25">
      <c r="A35" t="s">
        <v>36</v>
      </c>
      <c r="B35" s="4">
        <v>1000</v>
      </c>
      <c r="C35" s="4">
        <v>800</v>
      </c>
      <c r="D35" s="4">
        <v>8200</v>
      </c>
      <c r="E35" s="4">
        <v>90104</v>
      </c>
      <c r="F35" s="4">
        <v>625746</v>
      </c>
      <c r="G35" s="4">
        <v>72</v>
      </c>
      <c r="H35" s="4">
        <f>SUM(Vehicule_data_cleaned[[#This Row],[Electric (EV)]:[Unknown Fuel]])</f>
        <v>725922</v>
      </c>
    </row>
    <row r="36" spans="1:8" x14ac:dyDescent="0.25">
      <c r="A36" t="s">
        <v>37</v>
      </c>
      <c r="B36" s="4">
        <v>50400</v>
      </c>
      <c r="C36" s="4">
        <v>24</v>
      </c>
      <c r="D36" s="4">
        <v>199800</v>
      </c>
      <c r="E36" s="4">
        <v>835003</v>
      </c>
      <c r="F36" s="4">
        <v>8883362</v>
      </c>
      <c r="G36" s="4">
        <v>609</v>
      </c>
      <c r="H36" s="4">
        <f>SUM(Vehicule_data_cleaned[[#This Row],[Electric (EV)]:[Unknown Fuel]])</f>
        <v>9969198</v>
      </c>
    </row>
    <row r="37" spans="1:8" x14ac:dyDescent="0.25">
      <c r="A37" t="s">
        <v>38</v>
      </c>
      <c r="B37" s="4">
        <v>22800</v>
      </c>
      <c r="C37" s="4">
        <v>33</v>
      </c>
      <c r="D37" s="4">
        <v>56400</v>
      </c>
      <c r="E37" s="4">
        <v>353249</v>
      </c>
      <c r="F37" s="4">
        <v>3568957</v>
      </c>
      <c r="G37" s="4">
        <v>45</v>
      </c>
      <c r="H37" s="4">
        <f>SUM(Vehicule_data_cleaned[[#This Row],[Electric (EV)]:[Unknown Fuel]])</f>
        <v>4001484</v>
      </c>
    </row>
    <row r="38" spans="1:8" x14ac:dyDescent="0.25">
      <c r="A38" t="s">
        <v>39</v>
      </c>
      <c r="B38" s="4">
        <v>64400</v>
      </c>
      <c r="C38" s="4">
        <v>288</v>
      </c>
      <c r="D38" s="4">
        <v>156900</v>
      </c>
      <c r="E38" s="4">
        <v>185355</v>
      </c>
      <c r="F38" s="4">
        <v>3074517</v>
      </c>
      <c r="G38" s="4">
        <v>51</v>
      </c>
      <c r="H38" s="4">
        <f>SUM(Vehicule_data_cleaned[[#This Row],[Electric (EV)]:[Unknown Fuel]])</f>
        <v>3481511</v>
      </c>
    </row>
    <row r="39" spans="1:8" x14ac:dyDescent="0.25">
      <c r="A39" t="s">
        <v>40</v>
      </c>
      <c r="B39" s="4">
        <v>70200</v>
      </c>
      <c r="C39" s="4">
        <v>389</v>
      </c>
      <c r="D39" s="4">
        <v>245400</v>
      </c>
      <c r="E39" s="4">
        <v>663039</v>
      </c>
      <c r="F39" s="4">
        <v>8888321</v>
      </c>
      <c r="G39" s="4">
        <v>418</v>
      </c>
      <c r="H39" s="4">
        <f>SUM(Vehicule_data_cleaned[[#This Row],[Electric (EV)]:[Unknown Fuel]])</f>
        <v>9867767</v>
      </c>
    </row>
    <row r="40" spans="1:8" x14ac:dyDescent="0.25">
      <c r="A40" t="s">
        <v>41</v>
      </c>
      <c r="B40" s="4">
        <v>6400</v>
      </c>
      <c r="C40" s="4">
        <v>51</v>
      </c>
      <c r="D40" s="4">
        <v>22100</v>
      </c>
      <c r="E40" s="4">
        <v>41931</v>
      </c>
      <c r="F40" s="4">
        <v>782011</v>
      </c>
      <c r="G40" s="4">
        <v>6</v>
      </c>
      <c r="H40" s="4">
        <f>SUM(Vehicule_data_cleaned[[#This Row],[Electric (EV)]:[Unknown Fuel]])</f>
        <v>852499</v>
      </c>
    </row>
    <row r="41" spans="1:8" x14ac:dyDescent="0.25">
      <c r="A41" t="s">
        <v>42</v>
      </c>
      <c r="B41" s="4">
        <v>20900</v>
      </c>
      <c r="C41" s="4">
        <v>9</v>
      </c>
      <c r="D41" s="4">
        <v>83100</v>
      </c>
      <c r="E41" s="4">
        <v>405246</v>
      </c>
      <c r="F41" s="4">
        <v>4326101</v>
      </c>
      <c r="G41" s="4">
        <v>449</v>
      </c>
      <c r="H41" s="4">
        <f>SUM(Vehicule_data_cleaned[[#This Row],[Electric (EV)]:[Unknown Fuel]])</f>
        <v>4835805</v>
      </c>
    </row>
    <row r="42" spans="1:8" x14ac:dyDescent="0.25">
      <c r="A42" t="s">
        <v>43</v>
      </c>
      <c r="B42" s="4">
        <v>1700</v>
      </c>
      <c r="C42" s="4">
        <v>13</v>
      </c>
      <c r="D42" s="4">
        <v>11900</v>
      </c>
      <c r="E42" s="4">
        <v>99015</v>
      </c>
      <c r="F42" s="4">
        <v>718812</v>
      </c>
      <c r="G42" s="4">
        <v>133</v>
      </c>
      <c r="H42" s="4">
        <f>SUM(Vehicule_data_cleaned[[#This Row],[Electric (EV)]:[Unknown Fuel]])</f>
        <v>831573</v>
      </c>
    </row>
    <row r="43" spans="1:8" x14ac:dyDescent="0.25">
      <c r="A43" t="s">
        <v>44</v>
      </c>
      <c r="B43" s="4">
        <v>33200</v>
      </c>
      <c r="C43" s="4">
        <v>11</v>
      </c>
      <c r="D43" s="4">
        <v>113300</v>
      </c>
      <c r="E43" s="4">
        <v>509831</v>
      </c>
      <c r="F43" s="4">
        <v>5622107</v>
      </c>
      <c r="G43" s="4">
        <v>377</v>
      </c>
      <c r="H43" s="4">
        <f>SUM(Vehicule_data_cleaned[[#This Row],[Electric (EV)]:[Unknown Fuel]])</f>
        <v>6278826</v>
      </c>
    </row>
    <row r="44" spans="1:8" x14ac:dyDescent="0.25">
      <c r="A44" t="s">
        <v>45</v>
      </c>
      <c r="B44" s="4">
        <v>230100</v>
      </c>
      <c r="C44" s="4">
        <v>553</v>
      </c>
      <c r="D44" s="4">
        <v>445100</v>
      </c>
      <c r="E44" s="4">
        <v>2320033</v>
      </c>
      <c r="F44" s="4">
        <v>21400528</v>
      </c>
      <c r="G44" s="4">
        <v>1218</v>
      </c>
      <c r="H44" s="4">
        <f>SUM(Vehicule_data_cleaned[[#This Row],[Electric (EV)]:[Unknown Fuel]])</f>
        <v>24397532</v>
      </c>
    </row>
    <row r="45" spans="1:8" x14ac:dyDescent="0.25">
      <c r="A45" t="s">
        <v>46</v>
      </c>
      <c r="B45" s="4">
        <v>40000</v>
      </c>
      <c r="C45" s="4">
        <v>13</v>
      </c>
      <c r="D45" s="4">
        <v>83200</v>
      </c>
      <c r="E45" s="4">
        <v>186407</v>
      </c>
      <c r="F45" s="4">
        <v>2499758</v>
      </c>
      <c r="G45" s="4">
        <v>26</v>
      </c>
      <c r="H45" s="4">
        <f>SUM(Vehicule_data_cleaned[[#This Row],[Electric (EV)]:[Unknown Fuel]])</f>
        <v>2809404</v>
      </c>
    </row>
    <row r="46" spans="1:8" x14ac:dyDescent="0.25">
      <c r="A46" t="s">
        <v>47</v>
      </c>
      <c r="B46" s="4">
        <v>7800</v>
      </c>
      <c r="C46" s="4">
        <v>57</v>
      </c>
      <c r="D46" s="4">
        <v>20300</v>
      </c>
      <c r="E46" s="4">
        <v>36607</v>
      </c>
      <c r="F46" s="4">
        <v>496147</v>
      </c>
      <c r="G46" s="4">
        <v>5</v>
      </c>
      <c r="H46" s="4">
        <f>SUM(Vehicule_data_cleaned[[#This Row],[Electric (EV)]:[Unknown Fuel]])</f>
        <v>560916</v>
      </c>
    </row>
    <row r="47" spans="1:8" x14ac:dyDescent="0.25">
      <c r="A47" t="s">
        <v>48</v>
      </c>
      <c r="B47" s="4">
        <v>84900</v>
      </c>
      <c r="C47" s="4">
        <v>268</v>
      </c>
      <c r="D47" s="4">
        <v>229400</v>
      </c>
      <c r="E47" s="4">
        <v>485543</v>
      </c>
      <c r="F47" s="4">
        <v>6671528</v>
      </c>
      <c r="G47" s="4">
        <v>302</v>
      </c>
      <c r="H47" s="4">
        <f>SUM(Vehicule_data_cleaned[[#This Row],[Electric (EV)]:[Unknown Fuel]])</f>
        <v>7471941</v>
      </c>
    </row>
    <row r="48" spans="1:8" x14ac:dyDescent="0.25">
      <c r="A48" t="s">
        <v>49</v>
      </c>
      <c r="B48" s="4">
        <v>152100</v>
      </c>
      <c r="C48" s="4">
        <v>412</v>
      </c>
      <c r="D48" s="4">
        <v>307200</v>
      </c>
      <c r="E48" s="4">
        <v>338638</v>
      </c>
      <c r="F48" s="4">
        <v>5585742</v>
      </c>
      <c r="G48" s="4">
        <v>467</v>
      </c>
      <c r="H48" s="4">
        <f>SUM(Vehicule_data_cleaned[[#This Row],[Electric (EV)]:[Unknown Fuel]])</f>
        <v>6384559</v>
      </c>
    </row>
    <row r="49" spans="1:8" x14ac:dyDescent="0.25">
      <c r="A49" t="s">
        <v>50</v>
      </c>
      <c r="B49" s="4">
        <v>2800</v>
      </c>
      <c r="C49" s="4">
        <v>18</v>
      </c>
      <c r="D49" s="4">
        <v>22400</v>
      </c>
      <c r="E49" s="4">
        <v>123673</v>
      </c>
      <c r="F49" s="4">
        <v>1281964</v>
      </c>
      <c r="G49" s="4">
        <v>152</v>
      </c>
      <c r="H49" s="4">
        <f>SUM(Vehicule_data_cleaned[[#This Row],[Electric (EV)]:[Unknown Fuel]])</f>
        <v>1431007</v>
      </c>
    </row>
    <row r="50" spans="1:8" x14ac:dyDescent="0.25">
      <c r="A50" t="s">
        <v>51</v>
      </c>
      <c r="B50" s="4">
        <v>24900</v>
      </c>
      <c r="C50" s="4">
        <v>125</v>
      </c>
      <c r="D50" s="4">
        <v>123600</v>
      </c>
      <c r="E50" s="4">
        <v>537029</v>
      </c>
      <c r="F50" s="4">
        <v>4606175</v>
      </c>
      <c r="G50" s="4">
        <v>264</v>
      </c>
      <c r="H50" s="4">
        <f>SUM(Vehicule_data_cleaned[[#This Row],[Electric (EV)]:[Unknown Fuel]])</f>
        <v>5292093</v>
      </c>
    </row>
    <row r="51" spans="1:8" x14ac:dyDescent="0.25">
      <c r="A51" t="s">
        <v>52</v>
      </c>
      <c r="B51" s="4">
        <v>1100</v>
      </c>
      <c r="C51" s="4">
        <v>800</v>
      </c>
      <c r="D51" s="4">
        <v>8400</v>
      </c>
      <c r="E51" s="4">
        <v>57912</v>
      </c>
      <c r="F51" s="4">
        <v>489709</v>
      </c>
      <c r="G51" s="4">
        <v>137</v>
      </c>
      <c r="H51" s="4">
        <f>SUM(Vehicule_data_cleaned[[#This Row],[Electric (EV)]:[Unknown Fuel]])</f>
        <v>558058</v>
      </c>
    </row>
    <row r="52" spans="1:8" x14ac:dyDescent="0.25">
      <c r="A52" t="s">
        <v>68</v>
      </c>
      <c r="B52" s="4">
        <f>SUM(B2:B51)</f>
        <v>3547800</v>
      </c>
      <c r="C52" s="4">
        <f t="shared" ref="C52:F52" si="0">SUM(C2:C51)</f>
        <v>14646</v>
      </c>
      <c r="D52" s="4">
        <f t="shared" si="0"/>
        <v>7374200</v>
      </c>
      <c r="E52" s="4">
        <f t="shared" si="0"/>
        <v>20264079</v>
      </c>
      <c r="F52" s="4">
        <f t="shared" si="0"/>
        <v>242674663</v>
      </c>
      <c r="G52" s="4">
        <f>SUM(G2:G51)</f>
        <v>15207</v>
      </c>
      <c r="H52" s="4">
        <f>SUM(H2:H51)</f>
        <v>273890595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87B5-423D-4F2F-8DE7-46274429E625}">
  <dimension ref="A1:G54"/>
  <sheetViews>
    <sheetView tabSelected="1" zoomScale="106" zoomScaleNormal="106" workbookViewId="0">
      <selection activeCell="G19" sqref="G19"/>
    </sheetView>
  </sheetViews>
  <sheetFormatPr defaultRowHeight="15" x14ac:dyDescent="0.25"/>
  <cols>
    <col min="1" max="1" width="15.140625" customWidth="1"/>
    <col min="2" max="2" width="21.28515625" customWidth="1"/>
    <col min="3" max="3" width="18.28515625" customWidth="1"/>
    <col min="4" max="4" width="25.5703125" customWidth="1"/>
    <col min="5" max="5" width="16" customWidth="1"/>
  </cols>
  <sheetData>
    <row r="1" spans="1:6" x14ac:dyDescent="0.25">
      <c r="A1" t="s">
        <v>0</v>
      </c>
      <c r="B1" t="s">
        <v>58</v>
      </c>
      <c r="C1" t="s">
        <v>54</v>
      </c>
      <c r="D1" t="s">
        <v>55</v>
      </c>
      <c r="E1" t="s">
        <v>2</v>
      </c>
    </row>
    <row r="2" spans="1:6" x14ac:dyDescent="0.25">
      <c r="A2" t="s">
        <v>3</v>
      </c>
      <c r="B2" s="2">
        <v>1.369935351170916E-2</v>
      </c>
      <c r="C2" s="2">
        <v>9.5644860816299679E-2</v>
      </c>
      <c r="D2" s="2">
        <v>0.88782350384880415</v>
      </c>
      <c r="E2" s="2">
        <v>6.2761651159489038E-6</v>
      </c>
      <c r="F2" s="2"/>
    </row>
    <row r="3" spans="1:6" x14ac:dyDescent="0.25">
      <c r="A3" t="s">
        <v>4</v>
      </c>
      <c r="B3" s="2">
        <v>2.0552792562215823E-2</v>
      </c>
      <c r="C3" s="2">
        <v>9.0928656603554078E-2</v>
      </c>
      <c r="D3" s="2">
        <v>0.88143947105643294</v>
      </c>
      <c r="E3" s="2">
        <v>9.8886077421981791E-5</v>
      </c>
      <c r="F3" s="2"/>
    </row>
    <row r="4" spans="1:6" x14ac:dyDescent="0.25">
      <c r="A4" t="s">
        <v>5</v>
      </c>
      <c r="B4" s="2">
        <v>2.8446710826798713E-2</v>
      </c>
      <c r="C4" s="2">
        <v>7.1090224644824923E-2</v>
      </c>
      <c r="D4" s="2">
        <v>0.88577860363726091</v>
      </c>
      <c r="E4" s="2">
        <v>1.039430185020192E-4</v>
      </c>
      <c r="F4" s="2"/>
    </row>
    <row r="5" spans="1:6" x14ac:dyDescent="0.25">
      <c r="A5" t="s">
        <v>6</v>
      </c>
      <c r="B5" s="2">
        <v>1.4407095455573775E-2</v>
      </c>
      <c r="C5" s="2">
        <v>0.10783399443730363</v>
      </c>
      <c r="D5" s="2">
        <v>0.87494173887412052</v>
      </c>
      <c r="E5" s="2">
        <v>4.0106238700651318E-5</v>
      </c>
      <c r="F5" s="2"/>
    </row>
    <row r="6" spans="1:6" x14ac:dyDescent="0.25">
      <c r="A6" t="s">
        <v>7</v>
      </c>
      <c r="B6" s="2">
        <v>4.8004320163336445E-2</v>
      </c>
      <c r="C6" s="2">
        <v>3.7116567183782249E-2</v>
      </c>
      <c r="D6" s="2">
        <v>0.87934413449326865</v>
      </c>
      <c r="E6" s="2">
        <v>2.2265977529964651E-6</v>
      </c>
      <c r="F6" s="2"/>
    </row>
    <row r="7" spans="1:6" x14ac:dyDescent="0.25">
      <c r="A7" t="s">
        <v>8</v>
      </c>
      <c r="B7" s="2">
        <v>3.0000854641242237E-2</v>
      </c>
      <c r="C7" s="2">
        <v>6.5892053899374345E-2</v>
      </c>
      <c r="D7" s="2">
        <v>0.88624017776537833</v>
      </c>
      <c r="E7" s="2">
        <v>9.135820175623863E-5</v>
      </c>
      <c r="F7" s="2"/>
    </row>
    <row r="8" spans="1:6" x14ac:dyDescent="0.25">
      <c r="A8" t="s">
        <v>9</v>
      </c>
      <c r="B8" s="2">
        <v>2.638286690316647E-2</v>
      </c>
      <c r="C8" s="2">
        <v>4.688266981999737E-2</v>
      </c>
      <c r="D8" s="2">
        <v>0.91552507335873512</v>
      </c>
      <c r="E8" s="2">
        <v>7.3227346384618751E-5</v>
      </c>
      <c r="F8" s="2"/>
    </row>
    <row r="9" spans="1:6" x14ac:dyDescent="0.25">
      <c r="A9" t="s">
        <v>10</v>
      </c>
      <c r="B9" s="2">
        <v>2.5823708645416801E-2</v>
      </c>
      <c r="C9" s="2">
        <v>7.2115807492709599E-2</v>
      </c>
      <c r="D9" s="2">
        <v>0.89248766889720355</v>
      </c>
      <c r="E9" s="2">
        <v>5.7511316197216453E-5</v>
      </c>
      <c r="F9" s="2"/>
    </row>
    <row r="10" spans="1:6" x14ac:dyDescent="0.25">
      <c r="A10" t="s">
        <v>11</v>
      </c>
      <c r="B10" s="2">
        <v>2.3137995619913233E-2</v>
      </c>
      <c r="C10" s="2">
        <v>6.1588097122866996E-2</v>
      </c>
      <c r="D10" s="2">
        <v>0.90095938670523701</v>
      </c>
      <c r="E10" s="2">
        <v>5.3644424103104025E-5</v>
      </c>
      <c r="F10" s="2"/>
    </row>
    <row r="11" spans="1:6" x14ac:dyDescent="0.25">
      <c r="A11" t="s">
        <v>12</v>
      </c>
      <c r="B11" s="2">
        <v>1.8955482621942254E-2</v>
      </c>
      <c r="C11" s="2">
        <v>7.7944014609021811E-2</v>
      </c>
      <c r="D11" s="2">
        <v>0.89300143685369693</v>
      </c>
      <c r="E11" s="2">
        <v>8.3153258050619469E-5</v>
      </c>
      <c r="F11" s="2"/>
    </row>
    <row r="12" spans="1:6" x14ac:dyDescent="0.25">
      <c r="A12" t="s">
        <v>13</v>
      </c>
      <c r="B12" s="2">
        <v>3.4646934412591687E-2</v>
      </c>
      <c r="C12" s="2">
        <v>3.553595190548621E-2</v>
      </c>
      <c r="D12" s="2">
        <v>0.90534533665588546</v>
      </c>
      <c r="E12" s="2">
        <v>3.5218037727084952E-5</v>
      </c>
      <c r="F12" s="2"/>
    </row>
    <row r="13" spans="1:6" x14ac:dyDescent="0.25">
      <c r="A13" t="s">
        <v>14</v>
      </c>
      <c r="B13" s="2">
        <v>2.4884588467559209E-2</v>
      </c>
      <c r="C13" s="2">
        <v>7.6054021765188565E-2</v>
      </c>
      <c r="D13" s="2">
        <v>0.8940150002249293</v>
      </c>
      <c r="E13" s="2">
        <v>1.7994347724825424E-4</v>
      </c>
      <c r="F13" s="2"/>
    </row>
    <row r="14" spans="1:6" x14ac:dyDescent="0.25">
      <c r="A14" t="s">
        <v>15</v>
      </c>
      <c r="B14" s="2">
        <v>2.9356863534918159E-2</v>
      </c>
      <c r="C14" s="2">
        <v>7.9596290666687788E-2</v>
      </c>
      <c r="D14" s="2">
        <v>0.88070611177188629</v>
      </c>
      <c r="E14" s="2">
        <v>6.1305853772989572E-5</v>
      </c>
      <c r="F14" s="2"/>
    </row>
    <row r="15" spans="1:6" x14ac:dyDescent="0.25">
      <c r="A15" t="s">
        <v>16</v>
      </c>
      <c r="B15" s="2">
        <v>2.0217826283208118E-2</v>
      </c>
      <c r="C15" s="2">
        <v>9.7976333090640202E-2</v>
      </c>
      <c r="D15" s="2">
        <v>0.87725402875412861</v>
      </c>
      <c r="E15" s="2">
        <v>9.9306703406185973E-5</v>
      </c>
      <c r="F15" s="2"/>
    </row>
    <row r="16" spans="1:6" x14ac:dyDescent="0.25">
      <c r="A16" t="s">
        <v>17</v>
      </c>
      <c r="B16" s="2">
        <v>1.9428305138514984E-2</v>
      </c>
      <c r="C16" s="2">
        <v>0.11270353017738857</v>
      </c>
      <c r="D16" s="2">
        <v>0.86459524251076203</v>
      </c>
      <c r="E16" s="2">
        <v>1.9530201843786916E-4</v>
      </c>
      <c r="F16" s="2"/>
    </row>
    <row r="17" spans="1:7" x14ac:dyDescent="0.25">
      <c r="A17" t="s">
        <v>18</v>
      </c>
      <c r="B17" s="2">
        <v>2.0277854892636001E-2</v>
      </c>
      <c r="C17" s="2">
        <v>0.10222573597750123</v>
      </c>
      <c r="D17" s="2">
        <v>0.87286267788386096</v>
      </c>
      <c r="E17" s="2">
        <v>6.4776480907031663E-5</v>
      </c>
      <c r="F17" s="2"/>
    </row>
    <row r="18" spans="1:7" x14ac:dyDescent="0.25">
      <c r="A18" t="s">
        <v>19</v>
      </c>
      <c r="B18" s="2">
        <v>1.7396737657973914E-2</v>
      </c>
      <c r="C18" s="2">
        <v>9.382026914386532E-2</v>
      </c>
      <c r="D18" s="2">
        <v>0.88569772973869898</v>
      </c>
      <c r="E18" s="2">
        <v>6.326086421081424E-5</v>
      </c>
      <c r="F18" s="2"/>
    </row>
    <row r="19" spans="1:7" x14ac:dyDescent="0.25">
      <c r="A19" t="s">
        <v>20</v>
      </c>
      <c r="B19" s="2">
        <v>1.1249815301539826E-2</v>
      </c>
      <c r="C19" s="2">
        <v>0.10657716813604552</v>
      </c>
      <c r="D19" s="2">
        <v>0.87982370811822497</v>
      </c>
      <c r="E19" s="2">
        <v>5.3450614989903151E-5</v>
      </c>
      <c r="F19" s="2"/>
    </row>
    <row r="20" spans="1:7" x14ac:dyDescent="0.25">
      <c r="A20" t="s">
        <v>21</v>
      </c>
      <c r="B20" s="2">
        <v>2.8425530186897863E-2</v>
      </c>
      <c r="C20" s="2">
        <v>8.8416934848008014E-2</v>
      </c>
      <c r="D20" s="2">
        <v>0.8767660206626533</v>
      </c>
      <c r="E20" s="2">
        <v>6.683383585609914E-5</v>
      </c>
      <c r="F20" s="2"/>
    </row>
    <row r="21" spans="1:7" x14ac:dyDescent="0.25">
      <c r="A21" t="s">
        <v>22</v>
      </c>
      <c r="B21" s="2">
        <v>3.456954462053214E-2</v>
      </c>
      <c r="C21" s="2">
        <v>6.3508167387907169E-2</v>
      </c>
      <c r="D21" s="2">
        <v>0.88701906427394328</v>
      </c>
      <c r="E21" s="2">
        <v>6.4548942237508143E-5</v>
      </c>
      <c r="F21" s="2"/>
    </row>
    <row r="22" spans="1:7" x14ac:dyDescent="0.25">
      <c r="A22" t="s">
        <v>23</v>
      </c>
      <c r="B22" s="2">
        <v>3.5082363011613889E-2</v>
      </c>
      <c r="C22" s="2">
        <v>5.3459489985230944E-2</v>
      </c>
      <c r="D22" s="2">
        <v>0.89754732513371283</v>
      </c>
      <c r="E22" s="2">
        <v>5.6191718651810823E-6</v>
      </c>
      <c r="F22" s="2"/>
    </row>
    <row r="23" spans="1:7" x14ac:dyDescent="0.25">
      <c r="A23" t="s">
        <v>24</v>
      </c>
      <c r="B23" s="2">
        <v>1.8049454774842495E-2</v>
      </c>
      <c r="C23" s="2">
        <v>0.10660317548530608</v>
      </c>
      <c r="D23" s="2">
        <v>0.8691214656401024</v>
      </c>
      <c r="E23" s="2">
        <v>6.0205473725673147E-5</v>
      </c>
      <c r="F23" s="2"/>
    </row>
    <row r="24" spans="1:7" x14ac:dyDescent="0.25">
      <c r="A24" t="s">
        <v>25</v>
      </c>
      <c r="B24" s="2">
        <v>2.5410693962990599E-2</v>
      </c>
      <c r="C24" s="2">
        <v>0.1055262238361698</v>
      </c>
      <c r="D24" s="2">
        <v>0.86140803410625388</v>
      </c>
      <c r="E24" s="2">
        <v>5.0004980087812826E-5</v>
      </c>
      <c r="F24" s="2"/>
      <c r="G24" t="s">
        <v>70</v>
      </c>
    </row>
    <row r="25" spans="1:7" x14ac:dyDescent="0.25">
      <c r="A25" t="s">
        <v>26</v>
      </c>
      <c r="B25" s="2">
        <v>1.0829958892241141E-2</v>
      </c>
      <c r="C25" s="2">
        <v>0.11354136583447522</v>
      </c>
      <c r="D25" s="2">
        <v>0.87421271575428738</v>
      </c>
      <c r="E25" s="2">
        <v>3.2643493114911242E-5</v>
      </c>
      <c r="F25" s="2"/>
    </row>
    <row r="26" spans="1:7" x14ac:dyDescent="0.25">
      <c r="A26" t="s">
        <v>27</v>
      </c>
      <c r="B26" s="2">
        <v>2.1374013140795824E-2</v>
      </c>
      <c r="C26" s="2">
        <v>0.10831576717225559</v>
      </c>
      <c r="D26" s="2">
        <v>0.86516563171280536</v>
      </c>
      <c r="E26" s="2">
        <v>7.0558638638623617E-5</v>
      </c>
      <c r="F26" s="2"/>
    </row>
    <row r="27" spans="1:7" x14ac:dyDescent="0.25">
      <c r="A27" t="s">
        <v>28</v>
      </c>
      <c r="B27" s="2">
        <v>2.3389660661472907E-2</v>
      </c>
      <c r="C27" s="2">
        <v>0.10517476843127431</v>
      </c>
      <c r="D27" s="2">
        <v>0.86618897072190915</v>
      </c>
      <c r="E27" s="2">
        <v>1.1971959011559591E-4</v>
      </c>
      <c r="F27" s="2"/>
    </row>
    <row r="28" spans="1:7" x14ac:dyDescent="0.25">
      <c r="A28" t="s">
        <v>29</v>
      </c>
      <c r="B28" s="2">
        <v>1.7732415671756669E-2</v>
      </c>
      <c r="C28" s="2">
        <v>0.10742199504906604</v>
      </c>
      <c r="D28" s="2">
        <v>0.87093412298790118</v>
      </c>
      <c r="E28" s="2">
        <v>1.3761660015197658E-4</v>
      </c>
      <c r="F28" s="2"/>
    </row>
    <row r="29" spans="1:7" x14ac:dyDescent="0.25">
      <c r="A29" t="s">
        <v>30</v>
      </c>
      <c r="B29" s="2">
        <v>2.8836126695002857E-2</v>
      </c>
      <c r="C29" s="2">
        <v>5.2274594502326154E-2</v>
      </c>
      <c r="D29" s="2">
        <v>0.89912285971514383</v>
      </c>
      <c r="E29" s="2">
        <v>8.410536952709166E-5</v>
      </c>
      <c r="F29" s="2"/>
    </row>
    <row r="30" spans="1:7" x14ac:dyDescent="0.25">
      <c r="A30" t="s">
        <v>31</v>
      </c>
      <c r="B30" s="2">
        <v>2.7829874765563554E-2</v>
      </c>
      <c r="C30" s="2">
        <v>6.7940438018028917E-2</v>
      </c>
      <c r="D30" s="2">
        <v>0.89659991530038119</v>
      </c>
      <c r="E30" s="2">
        <v>9.3018331417508626E-5</v>
      </c>
      <c r="F30" s="2"/>
    </row>
    <row r="31" spans="1:7" x14ac:dyDescent="0.25">
      <c r="A31" t="s">
        <v>32</v>
      </c>
      <c r="B31" s="2">
        <v>2.4410419017033624E-2</v>
      </c>
      <c r="C31" s="2">
        <v>5.5025456479740123E-2</v>
      </c>
      <c r="D31" s="2">
        <v>0.90156645666513036</v>
      </c>
      <c r="E31" s="2">
        <v>5.1006845707234439E-5</v>
      </c>
      <c r="F31" s="2"/>
    </row>
    <row r="32" spans="1:7" x14ac:dyDescent="0.25">
      <c r="A32" t="s">
        <v>33</v>
      </c>
      <c r="B32" s="2">
        <v>2.4536357010087047E-2</v>
      </c>
      <c r="C32" s="2">
        <v>8.4254969858497772E-2</v>
      </c>
      <c r="D32" s="2">
        <v>0.88534985632661378</v>
      </c>
      <c r="E32" s="2">
        <v>1.26835795830924E-4</v>
      </c>
      <c r="F32" s="2"/>
    </row>
    <row r="33" spans="1:6" x14ac:dyDescent="0.25">
      <c r="A33" t="s">
        <v>34</v>
      </c>
      <c r="B33" s="2">
        <v>2.868585354391795E-2</v>
      </c>
      <c r="C33" s="2">
        <v>5.4095947054319131E-2</v>
      </c>
      <c r="D33" s="2">
        <v>0.90506654295816191</v>
      </c>
      <c r="E33" s="2">
        <v>7.2262771188659556E-5</v>
      </c>
      <c r="F33" s="2"/>
    </row>
    <row r="34" spans="1:6" x14ac:dyDescent="0.25">
      <c r="A34" t="s">
        <v>35</v>
      </c>
      <c r="B34" s="2">
        <v>2.4195624727928473E-2</v>
      </c>
      <c r="C34" s="2">
        <v>7.5390395715651093E-2</v>
      </c>
      <c r="D34" s="2">
        <v>0.89223916720176222</v>
      </c>
      <c r="E34" s="2">
        <v>8.2375417521010044E-5</v>
      </c>
      <c r="F34" s="2"/>
    </row>
    <row r="35" spans="1:6" x14ac:dyDescent="0.25">
      <c r="A35" t="s">
        <v>36</v>
      </c>
      <c r="B35" s="2">
        <v>1.1295979457848089E-2</v>
      </c>
      <c r="C35" s="2">
        <v>0.12412352842316392</v>
      </c>
      <c r="D35" s="2">
        <v>0.8620017026622695</v>
      </c>
      <c r="E35" s="2">
        <v>9.9184209873788098E-5</v>
      </c>
      <c r="F35" s="2"/>
    </row>
    <row r="36" spans="1:6" x14ac:dyDescent="0.25">
      <c r="A36" t="s">
        <v>37</v>
      </c>
      <c r="B36" s="2">
        <v>2.0041732544583826E-2</v>
      </c>
      <c r="C36" s="2">
        <v>8.3758292291917558E-2</v>
      </c>
      <c r="D36" s="2">
        <v>0.89108090741100743</v>
      </c>
      <c r="E36" s="2">
        <v>6.1088163762019768E-5</v>
      </c>
      <c r="F36" s="2"/>
    </row>
    <row r="37" spans="1:6" x14ac:dyDescent="0.25">
      <c r="A37" t="s">
        <v>38</v>
      </c>
      <c r="B37" s="2">
        <v>1.4094770840018353E-2</v>
      </c>
      <c r="C37" s="2">
        <v>8.8279498306128426E-2</v>
      </c>
      <c r="D37" s="2">
        <v>0.8919083520014075</v>
      </c>
      <c r="E37" s="2">
        <v>1.1245827797886983E-5</v>
      </c>
      <c r="F37" s="2"/>
    </row>
    <row r="38" spans="1:6" x14ac:dyDescent="0.25">
      <c r="A38" t="s">
        <v>39</v>
      </c>
      <c r="B38" s="2">
        <v>4.5066639169027471E-2</v>
      </c>
      <c r="C38" s="2">
        <v>5.3239814551785128E-2</v>
      </c>
      <c r="D38" s="2">
        <v>0.88309845926093589</v>
      </c>
      <c r="E38" s="2">
        <v>1.4648811966987898E-5</v>
      </c>
      <c r="F38" s="2"/>
    </row>
    <row r="39" spans="1:6" x14ac:dyDescent="0.25">
      <c r="A39" t="s">
        <v>40</v>
      </c>
      <c r="B39" s="2">
        <v>2.4868848240944482E-2</v>
      </c>
      <c r="C39" s="2">
        <v>6.7192405333445754E-2</v>
      </c>
      <c r="D39" s="2">
        <v>0.90074289350366699</v>
      </c>
      <c r="E39" s="2">
        <v>4.2360140850508531E-5</v>
      </c>
      <c r="F39" s="2"/>
    </row>
    <row r="40" spans="1:6" x14ac:dyDescent="0.25">
      <c r="A40" t="s">
        <v>41</v>
      </c>
      <c r="B40" s="2">
        <v>2.592378407482003E-2</v>
      </c>
      <c r="C40" s="2">
        <v>4.9185981449831613E-2</v>
      </c>
      <c r="D40" s="2">
        <v>0.9173160320422663</v>
      </c>
      <c r="E40" s="2">
        <v>7.0381314230280619E-6</v>
      </c>
      <c r="F40" s="2"/>
    </row>
    <row r="41" spans="1:6" x14ac:dyDescent="0.25">
      <c r="A41" t="s">
        <v>42</v>
      </c>
      <c r="B41" s="2">
        <v>1.7184315744741569E-2</v>
      </c>
      <c r="C41" s="2">
        <v>8.3801145827840456E-2</v>
      </c>
      <c r="D41" s="2">
        <v>0.89459790045297527</v>
      </c>
      <c r="E41" s="2">
        <v>9.2849070630432782E-5</v>
      </c>
      <c r="F41" s="2"/>
    </row>
    <row r="42" spans="1:6" x14ac:dyDescent="0.25">
      <c r="A42" t="s">
        <v>43</v>
      </c>
      <c r="B42" s="2">
        <v>1.4310228927586634E-2</v>
      </c>
      <c r="C42" s="2">
        <v>0.1190695224592429</v>
      </c>
      <c r="D42" s="2">
        <v>0.86440035931902548</v>
      </c>
      <c r="E42" s="2">
        <v>1.5993785272008592E-4</v>
      </c>
      <c r="F42" s="2"/>
    </row>
    <row r="43" spans="1:6" x14ac:dyDescent="0.25">
      <c r="A43" t="s">
        <v>44</v>
      </c>
      <c r="B43" s="2">
        <v>1.8044774612324024E-2</v>
      </c>
      <c r="C43" s="2">
        <v>8.1198459712054458E-2</v>
      </c>
      <c r="D43" s="2">
        <v>0.89540735799972793</v>
      </c>
      <c r="E43" s="2">
        <v>6.0043071746214975E-5</v>
      </c>
      <c r="F43" s="2"/>
    </row>
    <row r="44" spans="1:6" x14ac:dyDescent="0.25">
      <c r="A44" t="s">
        <v>45</v>
      </c>
      <c r="B44" s="2">
        <v>1.8243648578880847E-2</v>
      </c>
      <c r="C44" s="2">
        <v>9.5092938088983753E-2</v>
      </c>
      <c r="D44" s="2">
        <v>0.87715954220287529</v>
      </c>
      <c r="E44" s="2">
        <v>4.99230823839067E-5</v>
      </c>
      <c r="F44" s="2"/>
    </row>
    <row r="45" spans="1:6" x14ac:dyDescent="0.25">
      <c r="A45" t="s">
        <v>46</v>
      </c>
      <c r="B45" s="2">
        <v>2.9614822218520371E-2</v>
      </c>
      <c r="C45" s="2">
        <v>6.6351083717400561E-2</v>
      </c>
      <c r="D45" s="2">
        <v>0.8897823168187986</v>
      </c>
      <c r="E45" s="2">
        <v>9.2546319432876158E-6</v>
      </c>
      <c r="F45" s="2"/>
    </row>
    <row r="46" spans="1:6" x14ac:dyDescent="0.25">
      <c r="A46" t="s">
        <v>47</v>
      </c>
      <c r="B46" s="2">
        <v>3.6190802187849876E-2</v>
      </c>
      <c r="C46" s="2">
        <v>6.5262891413331053E-2</v>
      </c>
      <c r="D46" s="2">
        <v>0.88452994744311086</v>
      </c>
      <c r="E46" s="2">
        <v>8.9139906866625314E-6</v>
      </c>
      <c r="F46" s="2"/>
    </row>
    <row r="47" spans="1:6" x14ac:dyDescent="0.25">
      <c r="A47" t="s">
        <v>48</v>
      </c>
      <c r="B47" s="2">
        <v>3.0701527220303265E-2</v>
      </c>
      <c r="C47" s="2">
        <v>6.4982177990966464E-2</v>
      </c>
      <c r="D47" s="2">
        <v>0.89287749996955279</v>
      </c>
      <c r="E47" s="2">
        <v>4.0417878031959832E-5</v>
      </c>
      <c r="F47" s="2"/>
    </row>
    <row r="48" spans="1:6" x14ac:dyDescent="0.25">
      <c r="A48" t="s">
        <v>49</v>
      </c>
      <c r="B48" s="2">
        <v>4.8116087579424045E-2</v>
      </c>
      <c r="C48" s="2">
        <v>5.3040155161852211E-2</v>
      </c>
      <c r="D48" s="2">
        <v>0.87488297938823967</v>
      </c>
      <c r="E48" s="2">
        <v>7.3145224282522884E-5</v>
      </c>
      <c r="F48" s="2"/>
    </row>
    <row r="49" spans="1:6" x14ac:dyDescent="0.25">
      <c r="A49" t="s">
        <v>50</v>
      </c>
      <c r="B49" s="2">
        <v>1.5653312667233632E-2</v>
      </c>
      <c r="C49" s="2">
        <v>8.6423756138160057E-2</v>
      </c>
      <c r="D49" s="2">
        <v>0.89584746964899542</v>
      </c>
      <c r="E49" s="2">
        <v>1.0621890738479965E-4</v>
      </c>
      <c r="F49" s="2"/>
    </row>
    <row r="50" spans="1:6" x14ac:dyDescent="0.25">
      <c r="A50" t="s">
        <v>51</v>
      </c>
      <c r="B50" s="2">
        <v>2.3355598626101242E-2</v>
      </c>
      <c r="C50" s="2">
        <v>0.10147761953540876</v>
      </c>
      <c r="D50" s="2">
        <v>0.8703881432166819</v>
      </c>
      <c r="E50" s="2">
        <v>4.9885744638274497E-5</v>
      </c>
      <c r="F50" s="2"/>
    </row>
    <row r="51" spans="1:6" x14ac:dyDescent="0.25">
      <c r="A51" t="s">
        <v>52</v>
      </c>
      <c r="B51" s="2">
        <v>1.5052198875385713E-2</v>
      </c>
      <c r="C51" s="2">
        <v>0.10377415967515921</v>
      </c>
      <c r="D51" s="2">
        <v>0.87752348322217399</v>
      </c>
      <c r="E51" s="2">
        <v>2.4549419594379078E-4</v>
      </c>
      <c r="F51" s="2"/>
    </row>
    <row r="52" spans="1:6" x14ac:dyDescent="0.25">
      <c r="A52" t="s">
        <v>69</v>
      </c>
      <c r="B52" s="2">
        <f>Vehicule_data_fuel_type!D52/Vehicule_data_fuel_type!H52</f>
        <v>2.6923889080601691E-2</v>
      </c>
      <c r="C52" s="2">
        <f>Vehicule_data_fuel_type!E52/Vehicule_data_fuel_type!H52</f>
        <v>7.398603446021941E-2</v>
      </c>
      <c r="D52" s="2">
        <f>Vehicule_data_fuel_type!F52/Vehicule_data_fuel_type!H52</f>
        <v>0.88602773308079452</v>
      </c>
      <c r="E52" s="2">
        <f>Vehicule_data_fuel_type!G52/Vehicule_data_fuel_type!H52</f>
        <v>5.5522169353788874E-5</v>
      </c>
      <c r="F52" s="2"/>
    </row>
    <row r="54" spans="1:6" ht="18.75" x14ac:dyDescent="0.3">
      <c r="B54" s="10"/>
      <c r="C54" s="10"/>
      <c r="D54" s="10"/>
    </row>
  </sheetData>
  <mergeCells count="1">
    <mergeCell ref="B54:D54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DA316-0EFF-4AE9-94BC-76D3B2F31D06}">
  <dimension ref="A1:C51"/>
  <sheetViews>
    <sheetView workbookViewId="0">
      <selection activeCell="D1" sqref="D1:D1048576"/>
    </sheetView>
  </sheetViews>
  <sheetFormatPr defaultRowHeight="15" x14ac:dyDescent="0.25"/>
  <cols>
    <col min="2" max="2" width="17.5703125" customWidth="1"/>
    <col min="3" max="3" width="15.42578125" customWidth="1"/>
  </cols>
  <sheetData>
    <row r="1" spans="1:3" x14ac:dyDescent="0.25">
      <c r="A1" s="3" t="s">
        <v>0</v>
      </c>
      <c r="B1" s="8" t="s">
        <v>1</v>
      </c>
      <c r="C1" s="8" t="s">
        <v>54</v>
      </c>
    </row>
    <row r="2" spans="1:3" x14ac:dyDescent="0.25">
      <c r="A2" s="7" t="s">
        <v>3</v>
      </c>
      <c r="B2" s="9">
        <v>2.8134533278391599E-3</v>
      </c>
      <c r="C2" s="9">
        <v>9.5644860816299679E-2</v>
      </c>
    </row>
    <row r="3" spans="1:3" x14ac:dyDescent="0.25">
      <c r="A3" s="6" t="s">
        <v>4</v>
      </c>
      <c r="B3" s="5">
        <v>5.2351452752813889E-3</v>
      </c>
      <c r="C3" s="5">
        <v>9.0928656603554078E-2</v>
      </c>
    </row>
    <row r="4" spans="1:3" x14ac:dyDescent="0.25">
      <c r="A4" s="7" t="s">
        <v>5</v>
      </c>
      <c r="B4" s="9">
        <v>1.4539070189223246E-2</v>
      </c>
      <c r="C4" s="9">
        <v>7.1090224644824923E-2</v>
      </c>
    </row>
    <row r="5" spans="1:3" x14ac:dyDescent="0.25">
      <c r="A5" s="6" t="s">
        <v>6</v>
      </c>
      <c r="B5" s="5">
        <v>2.7646048036371299E-3</v>
      </c>
      <c r="C5" s="5">
        <v>0.10783399443730363</v>
      </c>
    </row>
    <row r="6" spans="1:3" x14ac:dyDescent="0.25">
      <c r="A6" s="7" t="s">
        <v>7</v>
      </c>
      <c r="B6" s="9">
        <v>3.5416996663485543E-2</v>
      </c>
      <c r="C6" s="9">
        <v>3.7116567183782249E-2</v>
      </c>
    </row>
    <row r="7" spans="1:3" x14ac:dyDescent="0.25">
      <c r="A7" s="6" t="s">
        <v>8</v>
      </c>
      <c r="B7" s="5">
        <v>1.770187952309054E-2</v>
      </c>
      <c r="C7" s="5">
        <v>6.5892053899374345E-2</v>
      </c>
    </row>
    <row r="8" spans="1:3" x14ac:dyDescent="0.25">
      <c r="A8" s="7" t="s">
        <v>9</v>
      </c>
      <c r="B8" s="9">
        <v>1.1071694477291638E-2</v>
      </c>
      <c r="C8" s="9">
        <v>4.688266981999737E-2</v>
      </c>
    </row>
    <row r="9" spans="1:3" x14ac:dyDescent="0.25">
      <c r="A9" s="6" t="s">
        <v>10</v>
      </c>
      <c r="B9" s="5">
        <v>9.4724520795415341E-3</v>
      </c>
      <c r="C9" s="5">
        <v>7.2115807492709599E-2</v>
      </c>
    </row>
    <row r="10" spans="1:3" x14ac:dyDescent="0.25">
      <c r="A10" s="7" t="s">
        <v>11</v>
      </c>
      <c r="B10" s="9">
        <v>1.4228890430677644E-2</v>
      </c>
      <c r="C10" s="9">
        <v>6.1588097122866996E-2</v>
      </c>
    </row>
    <row r="11" spans="1:3" x14ac:dyDescent="0.25">
      <c r="A11" s="6" t="s">
        <v>12</v>
      </c>
      <c r="B11" s="5">
        <v>9.9913667670705319E-3</v>
      </c>
      <c r="C11" s="5">
        <v>7.7944014609021811E-2</v>
      </c>
    </row>
    <row r="12" spans="1:3" x14ac:dyDescent="0.25">
      <c r="A12" s="7" t="s">
        <v>13</v>
      </c>
      <c r="B12" s="9">
        <v>2.4367074751712833E-2</v>
      </c>
      <c r="C12" s="9">
        <v>3.553595190548621E-2</v>
      </c>
    </row>
    <row r="13" spans="1:3" x14ac:dyDescent="0.25">
      <c r="A13" s="6" t="s">
        <v>14</v>
      </c>
      <c r="B13" s="5">
        <v>4.84025176142456E-3</v>
      </c>
      <c r="C13" s="5">
        <v>7.6054021765188565E-2</v>
      </c>
    </row>
    <row r="14" spans="1:3" x14ac:dyDescent="0.25">
      <c r="A14" s="7" t="s">
        <v>15</v>
      </c>
      <c r="B14" s="9">
        <v>1.0245072207700941E-2</v>
      </c>
      <c r="C14" s="9">
        <v>7.9596290666687788E-2</v>
      </c>
    </row>
    <row r="15" spans="1:3" x14ac:dyDescent="0.25">
      <c r="A15" s="6" t="s">
        <v>16</v>
      </c>
      <c r="B15" s="5">
        <v>4.4306067673529131E-3</v>
      </c>
      <c r="C15" s="5">
        <v>9.7976333090640202E-2</v>
      </c>
    </row>
    <row r="16" spans="1:3" x14ac:dyDescent="0.25">
      <c r="A16" s="7" t="s">
        <v>17</v>
      </c>
      <c r="B16" s="9">
        <v>3.0569011581579523E-3</v>
      </c>
      <c r="C16" s="9">
        <v>0.11270353017738857</v>
      </c>
    </row>
    <row r="17" spans="1:3" x14ac:dyDescent="0.25">
      <c r="A17" s="6" t="s">
        <v>18</v>
      </c>
      <c r="B17" s="5">
        <v>4.5464238152140238E-3</v>
      </c>
      <c r="C17" s="5">
        <v>0.10222573597750123</v>
      </c>
    </row>
    <row r="18" spans="1:3" x14ac:dyDescent="0.25">
      <c r="A18" s="7" t="s">
        <v>19</v>
      </c>
      <c r="B18" s="9">
        <v>3.0074837083829721E-3</v>
      </c>
      <c r="C18" s="9">
        <v>9.382026914386532E-2</v>
      </c>
    </row>
    <row r="19" spans="1:3" x14ac:dyDescent="0.25">
      <c r="A19" s="6" t="s">
        <v>20</v>
      </c>
      <c r="B19" s="5">
        <v>2.2947384445927009E-3</v>
      </c>
      <c r="C19" s="5">
        <v>0.10657716813604552</v>
      </c>
    </row>
    <row r="20" spans="1:3" x14ac:dyDescent="0.25">
      <c r="A20" s="7" t="s">
        <v>21</v>
      </c>
      <c r="B20" s="9">
        <v>6.2603846244953625E-3</v>
      </c>
      <c r="C20" s="9">
        <v>8.8416934848008014E-2</v>
      </c>
    </row>
    <row r="21" spans="1:3" x14ac:dyDescent="0.25">
      <c r="A21" s="6" t="s">
        <v>22</v>
      </c>
      <c r="B21" s="5">
        <v>1.4774535667696308E-2</v>
      </c>
      <c r="C21" s="5">
        <v>6.3508167387907169E-2</v>
      </c>
    </row>
    <row r="22" spans="1:3" x14ac:dyDescent="0.25">
      <c r="A22" s="7" t="s">
        <v>23</v>
      </c>
      <c r="B22" s="9">
        <v>1.3823162788345464E-2</v>
      </c>
      <c r="C22" s="9">
        <v>5.3459489985230944E-2</v>
      </c>
    </row>
    <row r="23" spans="1:3" x14ac:dyDescent="0.25">
      <c r="A23" s="6" t="s">
        <v>24</v>
      </c>
      <c r="B23" s="5">
        <v>6.1302334583023472E-3</v>
      </c>
      <c r="C23" s="5">
        <v>0.10660317548530608</v>
      </c>
    </row>
    <row r="24" spans="1:3" x14ac:dyDescent="0.25">
      <c r="A24" s="7" t="s">
        <v>25</v>
      </c>
      <c r="B24" s="9">
        <v>7.5721826990116569E-3</v>
      </c>
      <c r="C24" s="9">
        <v>0.1055262238361698</v>
      </c>
    </row>
    <row r="25" spans="1:3" x14ac:dyDescent="0.25">
      <c r="A25" s="6" t="s">
        <v>26</v>
      </c>
      <c r="B25" s="5">
        <v>1.3825479436903585E-3</v>
      </c>
      <c r="C25" s="5">
        <v>0.11354136583447522</v>
      </c>
    </row>
    <row r="26" spans="1:3" x14ac:dyDescent="0.25">
      <c r="A26" s="7" t="s">
        <v>27</v>
      </c>
      <c r="B26" s="9">
        <v>5.0479451579228066E-3</v>
      </c>
      <c r="C26" s="9">
        <v>0.10831576717225559</v>
      </c>
    </row>
    <row r="27" spans="1:3" x14ac:dyDescent="0.25">
      <c r="A27" s="6" t="s">
        <v>28</v>
      </c>
      <c r="B27" s="5">
        <v>5.0991677271457515E-3</v>
      </c>
      <c r="C27" s="5">
        <v>0.10517476843127431</v>
      </c>
    </row>
    <row r="28" spans="1:3" x14ac:dyDescent="0.25">
      <c r="A28" s="7" t="s">
        <v>29</v>
      </c>
      <c r="B28" s="9">
        <v>3.7531800041448161E-3</v>
      </c>
      <c r="C28" s="9">
        <v>0.10742199504906604</v>
      </c>
    </row>
    <row r="29" spans="1:3" x14ac:dyDescent="0.25">
      <c r="A29" s="6" t="s">
        <v>30</v>
      </c>
      <c r="B29" s="5">
        <v>1.9638396628493326E-2</v>
      </c>
      <c r="C29" s="5">
        <v>5.2274594502326154E-2</v>
      </c>
    </row>
    <row r="30" spans="1:3" x14ac:dyDescent="0.25">
      <c r="A30" s="7" t="s">
        <v>31</v>
      </c>
      <c r="B30" s="9">
        <v>7.4868413092141085E-3</v>
      </c>
      <c r="C30" s="9">
        <v>6.7940438018028917E-2</v>
      </c>
    </row>
    <row r="31" spans="1:3" x14ac:dyDescent="0.25">
      <c r="A31" s="6" t="s">
        <v>32</v>
      </c>
      <c r="B31" s="5">
        <v>1.8889348355316488E-2</v>
      </c>
      <c r="C31" s="5">
        <v>5.5025456479740123E-2</v>
      </c>
    </row>
    <row r="32" spans="1:3" x14ac:dyDescent="0.25">
      <c r="A32" s="7" t="s">
        <v>33</v>
      </c>
      <c r="B32" s="9">
        <v>5.7048414718712543E-3</v>
      </c>
      <c r="C32" s="9">
        <v>8.4254969858497772E-2</v>
      </c>
    </row>
    <row r="33" spans="1:3" x14ac:dyDescent="0.25">
      <c r="A33" s="6" t="s">
        <v>34</v>
      </c>
      <c r="B33" s="5">
        <v>1.1995071879988621E-2</v>
      </c>
      <c r="C33" s="5">
        <v>5.4095947054319131E-2</v>
      </c>
    </row>
    <row r="34" spans="1:3" x14ac:dyDescent="0.25">
      <c r="A34" s="7" t="s">
        <v>35</v>
      </c>
      <c r="B34" s="9">
        <v>8.0652082426428233E-3</v>
      </c>
      <c r="C34" s="9">
        <v>7.5390395715651093E-2</v>
      </c>
    </row>
    <row r="35" spans="1:3" x14ac:dyDescent="0.25">
      <c r="A35" s="6" t="s">
        <v>36</v>
      </c>
      <c r="B35" s="5">
        <v>1.3775584704692791E-3</v>
      </c>
      <c r="C35" s="5">
        <v>0.12412352842316392</v>
      </c>
    </row>
    <row r="36" spans="1:3" x14ac:dyDescent="0.25">
      <c r="A36" s="7" t="s">
        <v>37</v>
      </c>
      <c r="B36" s="9">
        <v>5.0555721734085327E-3</v>
      </c>
      <c r="C36" s="9">
        <v>8.3758292291917558E-2</v>
      </c>
    </row>
    <row r="37" spans="1:3" x14ac:dyDescent="0.25">
      <c r="A37" s="6" t="s">
        <v>38</v>
      </c>
      <c r="B37" s="5">
        <v>5.6978860842627384E-3</v>
      </c>
      <c r="C37" s="5">
        <v>8.8279498306128426E-2</v>
      </c>
    </row>
    <row r="38" spans="1:3" x14ac:dyDescent="0.25">
      <c r="A38" s="7" t="s">
        <v>39</v>
      </c>
      <c r="B38" s="9">
        <v>1.8497715503412167E-2</v>
      </c>
      <c r="C38" s="9">
        <v>5.3239814551785128E-2</v>
      </c>
    </row>
    <row r="39" spans="1:3" x14ac:dyDescent="0.25">
      <c r="A39" s="6" t="s">
        <v>40</v>
      </c>
      <c r="B39" s="5">
        <v>7.1140715016882747E-3</v>
      </c>
      <c r="C39" s="5">
        <v>6.7192405333445754E-2</v>
      </c>
    </row>
    <row r="40" spans="1:3" x14ac:dyDescent="0.25">
      <c r="A40" s="7" t="s">
        <v>41</v>
      </c>
      <c r="B40" s="9">
        <v>7.5073401845632661E-3</v>
      </c>
      <c r="C40" s="9">
        <v>4.9185981449831613E-2</v>
      </c>
    </row>
    <row r="41" spans="1:3" x14ac:dyDescent="0.25">
      <c r="A41" s="6" t="s">
        <v>42</v>
      </c>
      <c r="B41" s="5">
        <v>4.3219277865836191E-3</v>
      </c>
      <c r="C41" s="5">
        <v>8.3801145827840456E-2</v>
      </c>
    </row>
    <row r="42" spans="1:3" x14ac:dyDescent="0.25">
      <c r="A42" s="7" t="s">
        <v>43</v>
      </c>
      <c r="B42" s="9">
        <v>2.0443184182266619E-3</v>
      </c>
      <c r="C42" s="9">
        <v>0.1190695224592429</v>
      </c>
    </row>
    <row r="43" spans="1:3" x14ac:dyDescent="0.25">
      <c r="A43" s="6" t="s">
        <v>44</v>
      </c>
      <c r="B43" s="5">
        <v>5.2876126842820613E-3</v>
      </c>
      <c r="C43" s="5">
        <v>8.1198459712054458E-2</v>
      </c>
    </row>
    <row r="44" spans="1:3" x14ac:dyDescent="0.25">
      <c r="A44" s="7" t="s">
        <v>45</v>
      </c>
      <c r="B44" s="9">
        <v>9.4312818198168565E-3</v>
      </c>
      <c r="C44" s="9">
        <v>9.5092938088983753E-2</v>
      </c>
    </row>
    <row r="45" spans="1:3" x14ac:dyDescent="0.25">
      <c r="A45" s="6" t="s">
        <v>46</v>
      </c>
      <c r="B45" s="5">
        <v>1.4237895297365561E-2</v>
      </c>
      <c r="C45" s="5">
        <v>6.6351083717400561E-2</v>
      </c>
    </row>
    <row r="46" spans="1:3" x14ac:dyDescent="0.25">
      <c r="A46" s="7" t="s">
        <v>47</v>
      </c>
      <c r="B46" s="9">
        <v>1.3905825471193548E-2</v>
      </c>
      <c r="C46" s="9">
        <v>6.5262891413331053E-2</v>
      </c>
    </row>
    <row r="47" spans="1:3" x14ac:dyDescent="0.25">
      <c r="A47" s="6" t="s">
        <v>48</v>
      </c>
      <c r="B47" s="5">
        <v>1.1362509420243014E-2</v>
      </c>
      <c r="C47" s="5">
        <v>6.4982177990966464E-2</v>
      </c>
    </row>
    <row r="48" spans="1:3" x14ac:dyDescent="0.25">
      <c r="A48" s="7" t="s">
        <v>49</v>
      </c>
      <c r="B48" s="9">
        <v>2.3823101955828117E-2</v>
      </c>
      <c r="C48" s="9">
        <v>5.3040155161852211E-2</v>
      </c>
    </row>
    <row r="49" spans="1:3" x14ac:dyDescent="0.25">
      <c r="A49" s="6" t="s">
        <v>50</v>
      </c>
      <c r="B49" s="5">
        <v>1.956664083404204E-3</v>
      </c>
      <c r="C49" s="5">
        <v>8.6423756138160057E-2</v>
      </c>
    </row>
    <row r="50" spans="1:3" x14ac:dyDescent="0.25">
      <c r="A50" s="7" t="s">
        <v>51</v>
      </c>
      <c r="B50" s="9">
        <v>4.7051327329281625E-3</v>
      </c>
      <c r="C50" s="9">
        <v>0.10147761953540876</v>
      </c>
    </row>
    <row r="51" spans="1:3" x14ac:dyDescent="0.25">
      <c r="A51" s="6" t="s">
        <v>52</v>
      </c>
      <c r="B51" s="5">
        <v>1.97112128130051E-3</v>
      </c>
      <c r="C51" s="5">
        <v>0.10377415967515921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160563-ACFD-49C2-AC51-38849EB728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Detail2</vt:lpstr>
      <vt:lpstr>Vehicule_data_cleaned</vt:lpstr>
      <vt:lpstr>Vehicule_data_fuel_type</vt:lpstr>
      <vt:lpstr>Vehicule_data_fuel_pourcentage</vt:lpstr>
      <vt:lpstr>EV vs alternative fuels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SISSI</dc:creator>
  <cp:lastModifiedBy>Nassima BENZAÏ</cp:lastModifiedBy>
  <dcterms:created xsi:type="dcterms:W3CDTF">2025-11-29T18:24:04Z</dcterms:created>
  <dcterms:modified xsi:type="dcterms:W3CDTF">2025-12-04T15:47:55Z</dcterms:modified>
</cp:coreProperties>
</file>